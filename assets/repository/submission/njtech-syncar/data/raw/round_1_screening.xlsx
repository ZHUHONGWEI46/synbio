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1280" activeTab="1"/>
  </bookViews>
  <sheets>
    <sheet name="初筛" sheetId="1" r:id="rId1"/>
    <sheet name="复筛" sheetId="2" r:id="rId2"/>
    <sheet name="初筛排序" sheetId="3" r:id="rId3"/>
    <sheet name="复筛排序" sheetId="4" r:id="rId4"/>
  </sheets>
  <calcPr calcId="144525"/>
</workbook>
</file>

<file path=xl/sharedStrings.xml><?xml version="1.0" encoding="utf-8"?>
<sst xmlns="http://schemas.openxmlformats.org/spreadsheetml/2006/main" count="521" uniqueCount="96">
  <si>
    <t>平均值</t>
  </si>
  <si>
    <t>与PSW倍数关系</t>
  </si>
  <si>
    <t>与2962倍数关系</t>
  </si>
  <si>
    <t>F430E</t>
  </si>
  <si>
    <t>PSW</t>
  </si>
  <si>
    <t>V171N</t>
  </si>
  <si>
    <t>D457W</t>
  </si>
  <si>
    <t>L415A</t>
  </si>
  <si>
    <t>I1163H</t>
  </si>
  <si>
    <t>V557C</t>
  </si>
  <si>
    <t>L417A</t>
  </si>
  <si>
    <t>V435A</t>
  </si>
  <si>
    <t>G265K</t>
  </si>
  <si>
    <t>I254L</t>
  </si>
  <si>
    <t>L335A</t>
  </si>
  <si>
    <t>I254M</t>
  </si>
  <si>
    <t>S552A</t>
  </si>
  <si>
    <t>T309Q</t>
  </si>
  <si>
    <t>T1051A</t>
  </si>
  <si>
    <t>F899I</t>
  </si>
  <si>
    <t>N625T</t>
  </si>
  <si>
    <t>G389W</t>
  </si>
  <si>
    <t>V985I</t>
  </si>
  <si>
    <t>V440A</t>
  </si>
  <si>
    <t>G960A</t>
  </si>
  <si>
    <t>V228A</t>
  </si>
  <si>
    <t>S1118D</t>
  </si>
  <si>
    <t>A930D</t>
  </si>
  <si>
    <t>V183K</t>
  </si>
  <si>
    <t>F1100A</t>
  </si>
  <si>
    <t>T483D</t>
  </si>
  <si>
    <t>G980M</t>
  </si>
  <si>
    <t>D457Y</t>
  </si>
  <si>
    <t>L335S</t>
  </si>
  <si>
    <t>L250N</t>
  </si>
  <si>
    <t>F430H</t>
  </si>
  <si>
    <t>P1121E</t>
  </si>
  <si>
    <t>R951A</t>
  </si>
  <si>
    <t>L84A</t>
  </si>
  <si>
    <t>L1166A</t>
  </si>
  <si>
    <t>L893A</t>
  </si>
  <si>
    <t>G820A</t>
  </si>
  <si>
    <t>F430A</t>
  </si>
  <si>
    <t>D457C</t>
  </si>
  <si>
    <t>V557I</t>
  </si>
  <si>
    <t>G790I</t>
  </si>
  <si>
    <t>N864M</t>
  </si>
  <si>
    <t>V527I</t>
  </si>
  <si>
    <t>V482A</t>
  </si>
  <si>
    <t>W276D</t>
  </si>
  <si>
    <t>R623M</t>
  </si>
  <si>
    <t>V486A</t>
  </si>
  <si>
    <t>V929I</t>
  </si>
  <si>
    <t>V171K</t>
  </si>
  <si>
    <t>T483K</t>
  </si>
  <si>
    <t>G617A</t>
  </si>
  <si>
    <t>V953A</t>
  </si>
  <si>
    <t>N792E</t>
  </si>
  <si>
    <t>N506A</t>
  </si>
  <si>
    <t>V183P</t>
  </si>
  <si>
    <t>I1163Y</t>
  </si>
  <si>
    <t>P1004C</t>
  </si>
  <si>
    <t>T127D</t>
  </si>
  <si>
    <t>K620M</t>
  </si>
  <si>
    <t>F320L</t>
  </si>
  <si>
    <t>T760A</t>
  </si>
  <si>
    <t>T915A</t>
  </si>
  <si>
    <t>G980N</t>
  </si>
  <si>
    <t>F430T</t>
  </si>
  <si>
    <t>C1066A</t>
  </si>
  <si>
    <t>I254A</t>
  </si>
  <si>
    <t>G1022M</t>
  </si>
  <si>
    <t>V183W</t>
  </si>
  <si>
    <t>I944M</t>
  </si>
  <si>
    <t>V394I</t>
  </si>
  <si>
    <t>V486L</t>
  </si>
  <si>
    <t>V183N</t>
  </si>
  <si>
    <t>V183E</t>
  </si>
  <si>
    <t>G265Q</t>
  </si>
  <si>
    <t>V228W</t>
  </si>
  <si>
    <t>F430M</t>
  </si>
  <si>
    <t>T1046D</t>
  </si>
  <si>
    <t>T483E</t>
  </si>
  <si>
    <t>E974D</t>
  </si>
  <si>
    <t>G980F</t>
  </si>
  <si>
    <t>F430S</t>
  </si>
  <si>
    <t>T256A</t>
  </si>
  <si>
    <t>V889A</t>
  </si>
  <si>
    <t>R945A</t>
  </si>
  <si>
    <t>F899S</t>
  </si>
  <si>
    <t>N864K</t>
  </si>
  <si>
    <t>G306K</t>
  </si>
  <si>
    <t>空</t>
  </si>
  <si>
    <t>R951S</t>
  </si>
  <si>
    <t>105:G94A</t>
  </si>
  <si>
    <t>126:G306K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</si>
</sst>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  <numFmt numFmtId="178" formatCode="0.0000"/>
    <numFmt numFmtId="179" formatCode="0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" fillId="0" borderId="0"/>
  </cellStyleXfs>
  <cellXfs count="4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178" fontId="1" fillId="0" borderId="0" xfId="0" applyNumberFormat="1" applyFont="1" applyFill="1" applyBorder="1" applyAlignment="1"/>
    <xf numFmtId="178" fontId="1" fillId="0" borderId="0" xfId="0" applyNumberFormat="1" applyFont="1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177" fontId="0" fillId="2" borderId="0" xfId="0" applyNumberFormat="1" applyFill="1">
      <alignment vertical="center"/>
    </xf>
    <xf numFmtId="176" fontId="1" fillId="0" borderId="0" xfId="0" applyNumberFormat="1" applyFont="1" applyFill="1" applyBorder="1" applyAlignment="1"/>
    <xf numFmtId="176" fontId="0" fillId="0" borderId="0" xfId="0" applyNumberFormat="1" applyFill="1">
      <alignment vertical="center"/>
    </xf>
    <xf numFmtId="0" fontId="0" fillId="3" borderId="0" xfId="0" applyFill="1">
      <alignment vertical="center"/>
    </xf>
    <xf numFmtId="177" fontId="0" fillId="4" borderId="0" xfId="0" applyNumberFormat="1" applyFill="1">
      <alignment vertical="center"/>
    </xf>
    <xf numFmtId="0" fontId="0" fillId="5" borderId="0" xfId="0" applyFill="1" applyAlignment="1"/>
    <xf numFmtId="178" fontId="1" fillId="0" borderId="0" xfId="49" applyNumberFormat="1" applyFill="1"/>
    <xf numFmtId="0" fontId="0" fillId="6" borderId="0" xfId="0" applyFill="1" applyAlignment="1"/>
    <xf numFmtId="178" fontId="1" fillId="0" borderId="0" xfId="49" applyNumberFormat="1"/>
    <xf numFmtId="0" fontId="0" fillId="3" borderId="0" xfId="0" applyFill="1" applyAlignment="1"/>
    <xf numFmtId="0" fontId="0" fillId="7" borderId="0" xfId="0" applyFill="1" applyAlignment="1"/>
    <xf numFmtId="0" fontId="0" fillId="8" borderId="0" xfId="0" applyFill="1" applyAlignment="1"/>
    <xf numFmtId="0" fontId="0" fillId="2" borderId="0" xfId="0" applyFill="1" applyAlignment="1"/>
    <xf numFmtId="0" fontId="0" fillId="2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7" fontId="0" fillId="9" borderId="0" xfId="0" applyNumberFormat="1" applyFill="1">
      <alignment vertical="center"/>
    </xf>
    <xf numFmtId="177" fontId="0" fillId="4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177" fontId="2" fillId="0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177" fontId="1" fillId="0" borderId="0" xfId="0" applyNumberFormat="1" applyFont="1" applyFill="1" applyBorder="1" applyAlignment="1"/>
    <xf numFmtId="177" fontId="1" fillId="0" borderId="0" xfId="0" applyNumberFormat="1" applyFont="1" applyFill="1" applyAlignment="1"/>
    <xf numFmtId="176" fontId="1" fillId="0" borderId="0" xfId="0" applyNumberFormat="1" applyFont="1" applyFill="1" applyAlignment="1"/>
    <xf numFmtId="179" fontId="0" fillId="0" borderId="0" xfId="0" applyNumberFormat="1" applyFill="1" applyAlignment="1">
      <alignment horizontal="left" vertical="center"/>
    </xf>
    <xf numFmtId="179" fontId="0" fillId="3" borderId="0" xfId="0" applyNumberFormat="1" applyFill="1" applyAlignment="1">
      <alignment horizontal="left" vertical="center"/>
    </xf>
    <xf numFmtId="176" fontId="0" fillId="3" borderId="0" xfId="0" applyNumberFormat="1" applyFill="1" applyAlignment="1">
      <alignment vertical="center"/>
    </xf>
    <xf numFmtId="179" fontId="2" fillId="0" borderId="0" xfId="0" applyNumberFormat="1" applyFont="1" applyFill="1" applyAlignment="1">
      <alignment horizontal="left" vertical="center"/>
    </xf>
    <xf numFmtId="179" fontId="0" fillId="8" borderId="0" xfId="0" applyNumberFormat="1" applyFill="1" applyAlignment="1">
      <alignment horizontal="left" vertical="center"/>
    </xf>
    <xf numFmtId="176" fontId="0" fillId="8" borderId="0" xfId="0" applyNumberFormat="1" applyFill="1" applyAlignment="1">
      <alignment vertical="center"/>
    </xf>
    <xf numFmtId="179" fontId="0" fillId="5" borderId="0" xfId="0" applyNumberFormat="1" applyFill="1" applyAlignment="1">
      <alignment horizontal="left" vertical="center"/>
    </xf>
    <xf numFmtId="176" fontId="0" fillId="5" borderId="0" xfId="0" applyNumberFormat="1" applyFill="1" applyAlignment="1">
      <alignment vertical="center"/>
    </xf>
    <xf numFmtId="178" fontId="1" fillId="0" borderId="0" xfId="49" applyNumberFormat="1" applyFont="1" applyFill="1" applyBorder="1" applyAlignment="1"/>
    <xf numFmtId="179" fontId="0" fillId="6" borderId="0" xfId="0" applyNumberFormat="1" applyFill="1" applyAlignment="1">
      <alignment horizontal="left" vertical="center"/>
    </xf>
    <xf numFmtId="176" fontId="0" fillId="6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179" fontId="0" fillId="7" borderId="0" xfId="0" applyNumberFormat="1" applyFill="1" applyAlignment="1">
      <alignment horizontal="left" vertical="center"/>
    </xf>
    <xf numFmtId="176" fontId="0" fillId="7" borderId="0" xfId="0" applyNumberFormat="1" applyFill="1" applyAlignment="1">
      <alignment vertical="center"/>
    </xf>
    <xf numFmtId="179" fontId="0" fillId="2" borderId="0" xfId="0" applyNumberFormat="1" applyFill="1" applyAlignment="1">
      <alignment horizontal="left" vertical="center"/>
    </xf>
    <xf numFmtId="176" fontId="0" fillId="2" borderId="0" xfId="0" applyNumberFormat="1" applyFill="1" applyAlignment="1">
      <alignment vertical="center"/>
    </xf>
    <xf numFmtId="178" fontId="1" fillId="7" borderId="0" xfId="0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9"/>
  <sheetViews>
    <sheetView topLeftCell="B72" workbookViewId="0">
      <selection activeCell="I45" sqref="I$1:I$1048576"/>
    </sheetView>
  </sheetViews>
  <sheetFormatPr defaultColWidth="9.23076923076923" defaultRowHeight="16.8"/>
  <cols>
    <col min="1" max="5" width="9.23076923076923" style="6"/>
    <col min="6" max="6" width="22.4230769230769" style="6" customWidth="1"/>
    <col min="9" max="13" width="9.23076923076923" style="6"/>
    <col min="14" max="14" width="18.7403846153846" style="2" customWidth="1"/>
    <col min="18" max="18" width="10.7403846153846" style="31" customWidth="1"/>
    <col min="19" max="19" width="12.9230769230769" style="22"/>
    <col min="20" max="25" width="9.23076923076923" style="6"/>
    <col min="26" max="26" width="8.64423076923077" style="6" customWidth="1"/>
    <col min="27" max="27" width="9.23076923076923" style="6"/>
  </cols>
  <sheetData>
    <row r="1" spans="5:19">
      <c r="E1" s="22" t="s">
        <v>0</v>
      </c>
      <c r="F1" s="25" t="s">
        <v>1</v>
      </c>
      <c r="M1" s="22" t="s">
        <v>0</v>
      </c>
      <c r="N1" s="2" t="s">
        <v>2</v>
      </c>
      <c r="S1" s="22" t="s">
        <v>0</v>
      </c>
    </row>
    <row r="2" spans="1:27">
      <c r="A2" s="17" t="s">
        <v>3</v>
      </c>
      <c r="B2" s="4">
        <v>0.0927</v>
      </c>
      <c r="C2" s="4">
        <v>0.099</v>
      </c>
      <c r="D2" s="4">
        <v>0.1009</v>
      </c>
      <c r="E2" s="22">
        <f t="shared" ref="E2:E65" si="0">(B2+C2+D2)/3</f>
        <v>0.0975333333333333</v>
      </c>
      <c r="F2" s="25">
        <f t="shared" ref="F2:F20" si="1">E2/0.1286</f>
        <v>0.758424053913945</v>
      </c>
      <c r="I2" s="17" t="s">
        <v>3</v>
      </c>
      <c r="J2" s="4">
        <v>0.0927</v>
      </c>
      <c r="K2" s="4">
        <v>0.099</v>
      </c>
      <c r="L2" s="4">
        <v>0.1009</v>
      </c>
      <c r="M2" s="22">
        <f t="shared" ref="M2:M65" si="2">(J2+K2+L2)/3</f>
        <v>0.0975333333333333</v>
      </c>
      <c r="N2" s="2">
        <f>M2/0.1039</f>
        <v>0.938723131215913</v>
      </c>
      <c r="R2" s="32" t="s">
        <v>4</v>
      </c>
      <c r="S2" s="33">
        <f>(T2+U2+V2+W2+X2+Y2+Z2+AA2)/8</f>
        <v>0.1286</v>
      </c>
      <c r="T2" s="4">
        <v>0.1321</v>
      </c>
      <c r="U2" s="4">
        <v>0.1272</v>
      </c>
      <c r="V2" s="4">
        <v>0.1269</v>
      </c>
      <c r="W2" s="4">
        <v>0.1247</v>
      </c>
      <c r="X2" s="4">
        <v>0.1279</v>
      </c>
      <c r="Y2" s="4">
        <v>0.1354</v>
      </c>
      <c r="Z2" s="4">
        <v>0.1288</v>
      </c>
      <c r="AA2" s="4">
        <v>0.1258</v>
      </c>
    </row>
    <row r="3" spans="1:25">
      <c r="A3" s="17" t="s">
        <v>5</v>
      </c>
      <c r="B3" s="4">
        <v>0.0854</v>
      </c>
      <c r="C3" s="4">
        <v>0.0835</v>
      </c>
      <c r="D3" s="4">
        <v>0.0842</v>
      </c>
      <c r="E3" s="22">
        <f t="shared" si="0"/>
        <v>0.0843666666666667</v>
      </c>
      <c r="F3" s="25">
        <f t="shared" si="1"/>
        <v>0.656039398652151</v>
      </c>
      <c r="I3" s="17" t="s">
        <v>5</v>
      </c>
      <c r="J3" s="4">
        <v>0.0854</v>
      </c>
      <c r="K3" s="4">
        <v>0.0835</v>
      </c>
      <c r="L3" s="4">
        <v>0.0842</v>
      </c>
      <c r="M3" s="22">
        <f t="shared" si="2"/>
        <v>0.0843666666666667</v>
      </c>
      <c r="N3" s="2">
        <f t="shared" ref="N3:N20" si="3">M3/0.1039</f>
        <v>0.81199871671479</v>
      </c>
      <c r="R3" s="32">
        <v>2962</v>
      </c>
      <c r="S3" s="33">
        <f>(T3+U3+V3+W3)/4</f>
        <v>0.1039</v>
      </c>
      <c r="T3" s="4">
        <v>0.1092</v>
      </c>
      <c r="U3" s="4">
        <v>0.1088</v>
      </c>
      <c r="V3" s="4">
        <v>0.1036</v>
      </c>
      <c r="W3" s="4">
        <v>0.094</v>
      </c>
      <c r="Y3" s="42">
        <f>(T3+U3+V3+W3)/4</f>
        <v>0.1039</v>
      </c>
    </row>
    <row r="4" spans="1:14">
      <c r="A4" s="17" t="s">
        <v>6</v>
      </c>
      <c r="B4" s="4">
        <v>0.0833</v>
      </c>
      <c r="C4" s="4">
        <v>0.0829</v>
      </c>
      <c r="D4" s="4">
        <v>0.0809</v>
      </c>
      <c r="E4" s="22">
        <f t="shared" si="0"/>
        <v>0.0823666666666667</v>
      </c>
      <c r="F4" s="25">
        <f t="shared" si="1"/>
        <v>0.640487299118714</v>
      </c>
      <c r="I4" s="17" t="s">
        <v>6</v>
      </c>
      <c r="J4" s="4">
        <v>0.0833</v>
      </c>
      <c r="K4" s="4">
        <v>0.0829</v>
      </c>
      <c r="L4" s="4">
        <v>0.0809</v>
      </c>
      <c r="M4" s="22">
        <f t="shared" si="2"/>
        <v>0.0823666666666667</v>
      </c>
      <c r="N4" s="2">
        <f t="shared" si="3"/>
        <v>0.792749438562721</v>
      </c>
    </row>
    <row r="5" spans="1:14">
      <c r="A5" s="17" t="s">
        <v>7</v>
      </c>
      <c r="B5" s="4">
        <v>0.1223</v>
      </c>
      <c r="C5" s="4">
        <v>0.1242</v>
      </c>
      <c r="D5" s="4">
        <v>0.1202</v>
      </c>
      <c r="E5" s="22">
        <f t="shared" si="0"/>
        <v>0.122233333333333</v>
      </c>
      <c r="F5" s="25">
        <f t="shared" si="1"/>
        <v>0.950492483151892</v>
      </c>
      <c r="I5" s="17" t="s">
        <v>7</v>
      </c>
      <c r="J5" s="4">
        <v>0.1223</v>
      </c>
      <c r="K5" s="4">
        <v>0.1242</v>
      </c>
      <c r="L5" s="4">
        <v>0.1202</v>
      </c>
      <c r="M5" s="22">
        <f t="shared" si="2"/>
        <v>0.122233333333333</v>
      </c>
      <c r="N5" s="2">
        <f t="shared" si="3"/>
        <v>1.17645171639397</v>
      </c>
    </row>
    <row r="6" spans="1:14">
      <c r="A6" s="17" t="s">
        <v>8</v>
      </c>
      <c r="B6" s="4">
        <v>0.0786</v>
      </c>
      <c r="C6" s="4">
        <v>0.0726</v>
      </c>
      <c r="D6" s="4">
        <v>0.0788</v>
      </c>
      <c r="E6" s="22">
        <f t="shared" si="0"/>
        <v>0.0766666666666667</v>
      </c>
      <c r="F6" s="25">
        <f t="shared" si="1"/>
        <v>0.596163815448419</v>
      </c>
      <c r="I6" s="17" t="s">
        <v>8</v>
      </c>
      <c r="J6" s="4">
        <v>0.0786</v>
      </c>
      <c r="K6" s="4">
        <v>0.0726</v>
      </c>
      <c r="L6" s="4">
        <v>0.0788</v>
      </c>
      <c r="M6" s="22">
        <f t="shared" si="2"/>
        <v>0.0766666666666667</v>
      </c>
      <c r="N6" s="2">
        <f t="shared" si="3"/>
        <v>0.737888995829323</v>
      </c>
    </row>
    <row r="7" spans="1:14">
      <c r="A7" s="17" t="s">
        <v>9</v>
      </c>
      <c r="B7" s="4">
        <v>0.0714</v>
      </c>
      <c r="C7" s="4">
        <v>0.1081</v>
      </c>
      <c r="D7" s="4">
        <v>0.1175</v>
      </c>
      <c r="E7" s="22">
        <f t="shared" si="0"/>
        <v>0.099</v>
      </c>
      <c r="F7" s="25">
        <f t="shared" si="1"/>
        <v>0.769828926905132</v>
      </c>
      <c r="I7" s="17" t="s">
        <v>9</v>
      </c>
      <c r="J7" s="4">
        <v>0.0714</v>
      </c>
      <c r="K7" s="4">
        <v>0.1081</v>
      </c>
      <c r="L7" s="4">
        <v>0.1175</v>
      </c>
      <c r="M7" s="22">
        <f t="shared" si="2"/>
        <v>0.099</v>
      </c>
      <c r="N7" s="2">
        <f t="shared" si="3"/>
        <v>0.95283926852743</v>
      </c>
    </row>
    <row r="8" spans="1:18">
      <c r="A8" s="17" t="s">
        <v>10</v>
      </c>
      <c r="B8" s="4">
        <v>0.121</v>
      </c>
      <c r="C8" s="4">
        <v>0.1282</v>
      </c>
      <c r="D8" s="4">
        <v>0.1384</v>
      </c>
      <c r="E8" s="22">
        <f t="shared" si="0"/>
        <v>0.1292</v>
      </c>
      <c r="F8" s="26">
        <f t="shared" si="1"/>
        <v>1.00466562986003</v>
      </c>
      <c r="I8" s="17" t="s">
        <v>10</v>
      </c>
      <c r="J8" s="4">
        <v>0.121</v>
      </c>
      <c r="K8" s="4">
        <v>0.1282</v>
      </c>
      <c r="L8" s="4">
        <v>0.1384</v>
      </c>
      <c r="M8" s="22">
        <f t="shared" si="2"/>
        <v>0.1292</v>
      </c>
      <c r="N8" s="2">
        <f t="shared" si="3"/>
        <v>1.24350336862368</v>
      </c>
      <c r="R8" s="34"/>
    </row>
    <row r="9" spans="1:18">
      <c r="A9" s="17" t="s">
        <v>11</v>
      </c>
      <c r="B9" s="4">
        <v>0.1327</v>
      </c>
      <c r="C9" s="4">
        <v>0.1407</v>
      </c>
      <c r="D9" s="4">
        <v>0.1351</v>
      </c>
      <c r="E9" s="22">
        <f t="shared" si="0"/>
        <v>0.136166666666667</v>
      </c>
      <c r="F9" s="26">
        <f t="shared" si="1"/>
        <v>1.05883877656817</v>
      </c>
      <c r="I9" s="17" t="s">
        <v>11</v>
      </c>
      <c r="J9" s="4">
        <v>0.1327</v>
      </c>
      <c r="K9" s="4">
        <v>0.1407</v>
      </c>
      <c r="L9" s="4">
        <v>0.1351</v>
      </c>
      <c r="M9" s="22">
        <f t="shared" si="2"/>
        <v>0.136166666666667</v>
      </c>
      <c r="N9" s="2">
        <f t="shared" si="3"/>
        <v>1.31055502085338</v>
      </c>
      <c r="R9" s="34"/>
    </row>
    <row r="10" spans="1:14">
      <c r="A10" s="17" t="s">
        <v>12</v>
      </c>
      <c r="B10" s="4">
        <v>0.0738</v>
      </c>
      <c r="C10" s="4">
        <v>0.0842</v>
      </c>
      <c r="D10" s="4">
        <v>0.0829</v>
      </c>
      <c r="E10" s="22">
        <f t="shared" si="0"/>
        <v>0.0803</v>
      </c>
      <c r="F10" s="25">
        <f t="shared" si="1"/>
        <v>0.624416796267496</v>
      </c>
      <c r="I10" s="17" t="s">
        <v>12</v>
      </c>
      <c r="J10" s="4">
        <v>0.0738</v>
      </c>
      <c r="K10" s="4">
        <v>0.0842</v>
      </c>
      <c r="L10" s="4">
        <v>0.0829</v>
      </c>
      <c r="M10" s="22">
        <f t="shared" si="2"/>
        <v>0.0803</v>
      </c>
      <c r="N10" s="2">
        <f t="shared" si="3"/>
        <v>0.772858517805582</v>
      </c>
    </row>
    <row r="11" spans="1:14">
      <c r="A11" s="17" t="s">
        <v>13</v>
      </c>
      <c r="B11" s="4">
        <v>0.1265</v>
      </c>
      <c r="C11" s="4">
        <v>0.1204</v>
      </c>
      <c r="D11" s="4">
        <v>0.11</v>
      </c>
      <c r="E11" s="22">
        <f t="shared" si="0"/>
        <v>0.118966666666667</v>
      </c>
      <c r="F11" s="25">
        <f t="shared" si="1"/>
        <v>0.925090720580612</v>
      </c>
      <c r="I11" s="17" t="s">
        <v>13</v>
      </c>
      <c r="J11" s="4">
        <v>0.1265</v>
      </c>
      <c r="K11" s="4">
        <v>0.1204</v>
      </c>
      <c r="L11" s="4">
        <v>0.11</v>
      </c>
      <c r="M11" s="22">
        <f t="shared" si="2"/>
        <v>0.118966666666667</v>
      </c>
      <c r="N11" s="2">
        <f t="shared" si="3"/>
        <v>1.14501122874559</v>
      </c>
    </row>
    <row r="12" spans="1:14">
      <c r="A12" s="17" t="s">
        <v>14</v>
      </c>
      <c r="B12" s="4">
        <v>0.1443</v>
      </c>
      <c r="C12" s="4">
        <v>0.1203</v>
      </c>
      <c r="D12" s="4">
        <v>0.1268</v>
      </c>
      <c r="E12" s="22">
        <f t="shared" si="0"/>
        <v>0.130466666666667</v>
      </c>
      <c r="F12" s="25">
        <f t="shared" si="1"/>
        <v>1.01451529289787</v>
      </c>
      <c r="I12" s="17" t="s">
        <v>14</v>
      </c>
      <c r="J12" s="4">
        <v>0.1443</v>
      </c>
      <c r="K12" s="4">
        <v>0.1203</v>
      </c>
      <c r="L12" s="4">
        <v>0.1268</v>
      </c>
      <c r="M12" s="22">
        <f t="shared" si="2"/>
        <v>0.130466666666667</v>
      </c>
      <c r="N12" s="2">
        <f t="shared" si="3"/>
        <v>1.25569457811999</v>
      </c>
    </row>
    <row r="13" spans="1:14">
      <c r="A13" s="17" t="s">
        <v>15</v>
      </c>
      <c r="B13" s="4">
        <v>0.0948</v>
      </c>
      <c r="C13" s="4">
        <v>0.0912</v>
      </c>
      <c r="D13" s="4">
        <v>0.097</v>
      </c>
      <c r="E13" s="22">
        <f t="shared" si="0"/>
        <v>0.0943333333333333</v>
      </c>
      <c r="F13" s="25">
        <f t="shared" si="1"/>
        <v>0.733540694660446</v>
      </c>
      <c r="I13" s="17" t="s">
        <v>15</v>
      </c>
      <c r="J13" s="4">
        <v>0.0948</v>
      </c>
      <c r="K13" s="4">
        <v>0.0912</v>
      </c>
      <c r="L13" s="4">
        <v>0.097</v>
      </c>
      <c r="M13" s="22">
        <f t="shared" si="2"/>
        <v>0.0943333333333333</v>
      </c>
      <c r="N13" s="2">
        <f t="shared" si="3"/>
        <v>0.907924286172602</v>
      </c>
    </row>
    <row r="14" spans="1:14">
      <c r="A14" s="17" t="s">
        <v>16</v>
      </c>
      <c r="B14" s="4">
        <v>0.1175</v>
      </c>
      <c r="C14" s="4">
        <v>0.1248</v>
      </c>
      <c r="D14" s="4">
        <v>0.1266</v>
      </c>
      <c r="E14" s="22">
        <f t="shared" si="0"/>
        <v>0.122966666666667</v>
      </c>
      <c r="F14" s="25">
        <f t="shared" si="1"/>
        <v>0.956194919647486</v>
      </c>
      <c r="I14" s="17" t="s">
        <v>16</v>
      </c>
      <c r="J14" s="4">
        <v>0.1175</v>
      </c>
      <c r="K14" s="4">
        <v>0.1248</v>
      </c>
      <c r="L14" s="4">
        <v>0.1266</v>
      </c>
      <c r="M14" s="22">
        <f t="shared" si="2"/>
        <v>0.122966666666667</v>
      </c>
      <c r="N14" s="2">
        <f t="shared" si="3"/>
        <v>1.18350978504973</v>
      </c>
    </row>
    <row r="15" spans="1:14">
      <c r="A15" s="17" t="s">
        <v>17</v>
      </c>
      <c r="B15" s="4">
        <v>0.1145</v>
      </c>
      <c r="C15" s="4">
        <v>0.1136</v>
      </c>
      <c r="D15" s="4">
        <v>0.1151</v>
      </c>
      <c r="E15" s="22">
        <f t="shared" si="0"/>
        <v>0.1144</v>
      </c>
      <c r="F15" s="25">
        <f t="shared" si="1"/>
        <v>0.889580093312597</v>
      </c>
      <c r="I15" s="17" t="s">
        <v>17</v>
      </c>
      <c r="J15" s="4">
        <v>0.1145</v>
      </c>
      <c r="K15" s="4">
        <v>0.1136</v>
      </c>
      <c r="L15" s="4">
        <v>0.1151</v>
      </c>
      <c r="M15" s="22">
        <f t="shared" si="2"/>
        <v>0.1144</v>
      </c>
      <c r="N15" s="2">
        <f t="shared" si="3"/>
        <v>1.10105871029836</v>
      </c>
    </row>
    <row r="16" spans="1:14">
      <c r="A16" s="17" t="s">
        <v>18</v>
      </c>
      <c r="B16" s="4">
        <v>0.1196</v>
      </c>
      <c r="C16" s="4">
        <v>0.1158</v>
      </c>
      <c r="D16" s="4">
        <v>0.1196</v>
      </c>
      <c r="E16" s="22">
        <f t="shared" si="0"/>
        <v>0.118333333333333</v>
      </c>
      <c r="F16" s="25">
        <f t="shared" si="1"/>
        <v>0.92016588906169</v>
      </c>
      <c r="I16" s="17" t="s">
        <v>18</v>
      </c>
      <c r="J16" s="4">
        <v>0.1196</v>
      </c>
      <c r="K16" s="4">
        <v>0.1158</v>
      </c>
      <c r="L16" s="4">
        <v>0.1196</v>
      </c>
      <c r="M16" s="22">
        <f t="shared" si="2"/>
        <v>0.118333333333333</v>
      </c>
      <c r="N16" s="2">
        <f t="shared" si="3"/>
        <v>1.13891562399743</v>
      </c>
    </row>
    <row r="17" spans="1:14">
      <c r="A17" s="17" t="s">
        <v>19</v>
      </c>
      <c r="B17" s="4">
        <v>0.1169</v>
      </c>
      <c r="C17" s="4">
        <v>0.1184</v>
      </c>
      <c r="D17" s="4">
        <v>0.1136</v>
      </c>
      <c r="E17" s="22">
        <f t="shared" si="0"/>
        <v>0.1163</v>
      </c>
      <c r="F17" s="25">
        <f t="shared" si="1"/>
        <v>0.904354587869362</v>
      </c>
      <c r="I17" s="17" t="s">
        <v>19</v>
      </c>
      <c r="J17" s="4">
        <v>0.1169</v>
      </c>
      <c r="K17" s="4">
        <v>0.1184</v>
      </c>
      <c r="L17" s="4">
        <v>0.1136</v>
      </c>
      <c r="M17" s="22">
        <f t="shared" si="2"/>
        <v>0.1163</v>
      </c>
      <c r="N17" s="2">
        <f t="shared" si="3"/>
        <v>1.11934552454283</v>
      </c>
    </row>
    <row r="18" spans="1:14">
      <c r="A18" s="17" t="s">
        <v>20</v>
      </c>
      <c r="B18" s="4">
        <v>0.115</v>
      </c>
      <c r="C18" s="4">
        <v>0.1118</v>
      </c>
      <c r="D18" s="4">
        <v>0.1068</v>
      </c>
      <c r="E18" s="22">
        <f t="shared" si="0"/>
        <v>0.1112</v>
      </c>
      <c r="F18" s="25">
        <f t="shared" si="1"/>
        <v>0.864696734059098</v>
      </c>
      <c r="I18" s="17" t="s">
        <v>20</v>
      </c>
      <c r="J18" s="4">
        <v>0.115</v>
      </c>
      <c r="K18" s="4">
        <v>0.1118</v>
      </c>
      <c r="L18" s="4">
        <v>0.1068</v>
      </c>
      <c r="M18" s="22">
        <f t="shared" si="2"/>
        <v>0.1112</v>
      </c>
      <c r="N18" s="2">
        <f t="shared" si="3"/>
        <v>1.07025986525505</v>
      </c>
    </row>
    <row r="19" spans="1:14">
      <c r="A19" s="17" t="s">
        <v>21</v>
      </c>
      <c r="B19" s="4">
        <v>0.0784</v>
      </c>
      <c r="C19" s="4">
        <v>0.0764</v>
      </c>
      <c r="D19" s="4">
        <v>0.0756</v>
      </c>
      <c r="E19" s="22">
        <f t="shared" si="0"/>
        <v>0.0768</v>
      </c>
      <c r="F19" s="25">
        <f t="shared" si="1"/>
        <v>0.597200622083981</v>
      </c>
      <c r="I19" s="17" t="s">
        <v>21</v>
      </c>
      <c r="J19" s="4">
        <v>0.0784</v>
      </c>
      <c r="K19" s="4">
        <v>0.0764</v>
      </c>
      <c r="L19" s="4">
        <v>0.0756</v>
      </c>
      <c r="M19" s="22">
        <f t="shared" si="2"/>
        <v>0.0768</v>
      </c>
      <c r="N19" s="2">
        <f t="shared" si="3"/>
        <v>0.739172281039461</v>
      </c>
    </row>
    <row r="20" spans="1:14">
      <c r="A20" s="17" t="s">
        <v>22</v>
      </c>
      <c r="B20" s="4">
        <v>0.1284</v>
      </c>
      <c r="C20" s="4">
        <v>0.1358</v>
      </c>
      <c r="D20" s="4">
        <v>0.1226</v>
      </c>
      <c r="E20" s="22">
        <f t="shared" si="0"/>
        <v>0.128933333333333</v>
      </c>
      <c r="F20" s="25">
        <f t="shared" si="1"/>
        <v>1.00259201658891</v>
      </c>
      <c r="I20" s="17" t="s">
        <v>22</v>
      </c>
      <c r="J20" s="4">
        <v>0.1284</v>
      </c>
      <c r="K20" s="4">
        <v>0.1358</v>
      </c>
      <c r="L20" s="4">
        <v>0.1226</v>
      </c>
      <c r="M20" s="22">
        <f t="shared" si="2"/>
        <v>0.128933333333333</v>
      </c>
      <c r="N20" s="2">
        <f t="shared" si="3"/>
        <v>1.2409367982034</v>
      </c>
    </row>
    <row r="21" spans="1:25">
      <c r="A21" s="19" t="s">
        <v>23</v>
      </c>
      <c r="B21" s="4">
        <v>0.0894</v>
      </c>
      <c r="C21" s="4">
        <v>0.0862</v>
      </c>
      <c r="D21" s="4">
        <v>0.0933</v>
      </c>
      <c r="E21" s="22">
        <f t="shared" si="0"/>
        <v>0.0896333333333333</v>
      </c>
      <c r="F21" s="25">
        <f t="shared" ref="F21:F40" si="4">E21/0.1516</f>
        <v>0.591248900615655</v>
      </c>
      <c r="I21" s="19" t="s">
        <v>23</v>
      </c>
      <c r="J21" s="4">
        <v>0.0894</v>
      </c>
      <c r="K21" s="4">
        <v>0.0862</v>
      </c>
      <c r="L21" s="4">
        <v>0.0933</v>
      </c>
      <c r="M21" s="22">
        <f t="shared" si="2"/>
        <v>0.0896333333333333</v>
      </c>
      <c r="N21" s="2">
        <f>M21/0.0883</f>
        <v>1.01510003775009</v>
      </c>
      <c r="R21" s="35" t="s">
        <v>4</v>
      </c>
      <c r="S21" s="36">
        <f>(T21+U21+V21+W21+X21+Y21)/6</f>
        <v>0.151616666666667</v>
      </c>
      <c r="T21" s="4">
        <v>0.1491</v>
      </c>
      <c r="U21" s="4">
        <v>0.1527</v>
      </c>
      <c r="V21" s="4">
        <v>0.1495</v>
      </c>
      <c r="W21" s="4">
        <v>0.155</v>
      </c>
      <c r="X21" s="4">
        <v>0.1513</v>
      </c>
      <c r="Y21" s="4">
        <v>0.1521</v>
      </c>
    </row>
    <row r="22" spans="1:26">
      <c r="A22" s="19" t="s">
        <v>24</v>
      </c>
      <c r="B22" s="4">
        <v>0.0673</v>
      </c>
      <c r="C22" s="4">
        <v>0.0998</v>
      </c>
      <c r="D22" s="4">
        <v>0.0976</v>
      </c>
      <c r="E22" s="22">
        <f t="shared" si="0"/>
        <v>0.0882333333333333</v>
      </c>
      <c r="F22" s="25">
        <f t="shared" si="4"/>
        <v>0.582014072119613</v>
      </c>
      <c r="I22" s="19" t="s">
        <v>24</v>
      </c>
      <c r="J22" s="4">
        <v>0.0673</v>
      </c>
      <c r="K22" s="4">
        <v>0.0998</v>
      </c>
      <c r="L22" s="4">
        <v>0.0976</v>
      </c>
      <c r="M22" s="22">
        <f t="shared" si="2"/>
        <v>0.0882333333333333</v>
      </c>
      <c r="N22" s="2">
        <f t="shared" ref="N22:N40" si="5">M22/0.0883</f>
        <v>0.999244998112495</v>
      </c>
      <c r="R22" s="35">
        <v>2962</v>
      </c>
      <c r="S22" s="36">
        <f>(T22+U22+V22+W22+X22)/5</f>
        <v>0.08826</v>
      </c>
      <c r="T22" s="4">
        <v>0.0903</v>
      </c>
      <c r="U22" s="4">
        <v>0.0903</v>
      </c>
      <c r="V22" s="4">
        <v>0.0832</v>
      </c>
      <c r="W22" s="4">
        <v>0.0972</v>
      </c>
      <c r="X22" s="4">
        <v>0.0803</v>
      </c>
      <c r="Z22" s="36">
        <f>(T22+U22+V22+W22+X22)/5</f>
        <v>0.08826</v>
      </c>
    </row>
    <row r="23" spans="1:14">
      <c r="A23" s="19" t="s">
        <v>25</v>
      </c>
      <c r="B23" s="4">
        <v>0.1199</v>
      </c>
      <c r="C23" s="4">
        <v>0.1241</v>
      </c>
      <c r="D23" s="4">
        <v>0.1107</v>
      </c>
      <c r="E23" s="22">
        <f t="shared" si="0"/>
        <v>0.118233333333333</v>
      </c>
      <c r="F23" s="25">
        <f t="shared" si="4"/>
        <v>0.77990325417766</v>
      </c>
      <c r="I23" s="19" t="s">
        <v>25</v>
      </c>
      <c r="J23" s="4">
        <v>0.1199</v>
      </c>
      <c r="K23" s="4">
        <v>0.1241</v>
      </c>
      <c r="L23" s="4">
        <v>0.1107</v>
      </c>
      <c r="M23" s="22">
        <f t="shared" si="2"/>
        <v>0.118233333333333</v>
      </c>
      <c r="N23" s="2">
        <f t="shared" si="5"/>
        <v>1.33899584748962</v>
      </c>
    </row>
    <row r="24" spans="1:14">
      <c r="A24" s="19" t="s">
        <v>26</v>
      </c>
      <c r="B24" s="4">
        <v>0.0809</v>
      </c>
      <c r="C24" s="4">
        <v>0.0838</v>
      </c>
      <c r="D24" s="4">
        <v>0.0844</v>
      </c>
      <c r="E24" s="22">
        <f t="shared" si="0"/>
        <v>0.0830333333333333</v>
      </c>
      <c r="F24" s="25">
        <f t="shared" si="4"/>
        <v>0.547713280562885</v>
      </c>
      <c r="I24" s="19" t="s">
        <v>26</v>
      </c>
      <c r="J24" s="4">
        <v>0.0809</v>
      </c>
      <c r="K24" s="4">
        <v>0.0838</v>
      </c>
      <c r="L24" s="4">
        <v>0.0844</v>
      </c>
      <c r="M24" s="22">
        <f t="shared" si="2"/>
        <v>0.0830333333333333</v>
      </c>
      <c r="N24" s="2">
        <f t="shared" si="5"/>
        <v>0.940354850887127</v>
      </c>
    </row>
    <row r="25" spans="1:14">
      <c r="A25" s="19" t="s">
        <v>27</v>
      </c>
      <c r="B25" s="4">
        <v>0.0911</v>
      </c>
      <c r="C25" s="4">
        <v>0.1136</v>
      </c>
      <c r="D25" s="4">
        <v>0.0921</v>
      </c>
      <c r="E25" s="22">
        <f t="shared" si="0"/>
        <v>0.0989333333333333</v>
      </c>
      <c r="F25" s="25">
        <f t="shared" si="4"/>
        <v>0.65259454705365</v>
      </c>
      <c r="I25" s="19" t="s">
        <v>27</v>
      </c>
      <c r="J25" s="4">
        <v>0.0911</v>
      </c>
      <c r="K25" s="4">
        <v>0.1136</v>
      </c>
      <c r="L25" s="4">
        <v>0.0921</v>
      </c>
      <c r="M25" s="22">
        <f t="shared" si="2"/>
        <v>0.0989333333333333</v>
      </c>
      <c r="N25" s="2">
        <f t="shared" si="5"/>
        <v>1.120422801057</v>
      </c>
    </row>
    <row r="26" spans="1:14">
      <c r="A26" s="19" t="s">
        <v>28</v>
      </c>
      <c r="B26" s="4">
        <v>0.0952</v>
      </c>
      <c r="C26" s="4">
        <v>0.0982</v>
      </c>
      <c r="D26" s="4">
        <v>0.087</v>
      </c>
      <c r="E26" s="22">
        <f t="shared" si="0"/>
        <v>0.0934666666666667</v>
      </c>
      <c r="F26" s="25">
        <f t="shared" si="4"/>
        <v>0.616534740545295</v>
      </c>
      <c r="I26" s="19" t="s">
        <v>28</v>
      </c>
      <c r="J26" s="4">
        <v>0.0952</v>
      </c>
      <c r="K26" s="4">
        <v>0.0982</v>
      </c>
      <c r="L26" s="4">
        <v>0.087</v>
      </c>
      <c r="M26" s="22">
        <f t="shared" si="2"/>
        <v>0.0934666666666667</v>
      </c>
      <c r="N26" s="2">
        <f t="shared" si="5"/>
        <v>1.05851264628162</v>
      </c>
    </row>
    <row r="27" spans="1:14">
      <c r="A27" s="19" t="s">
        <v>29</v>
      </c>
      <c r="B27" s="4">
        <v>0.1161</v>
      </c>
      <c r="C27" s="4">
        <v>0.1293</v>
      </c>
      <c r="D27" s="4">
        <v>0.1384</v>
      </c>
      <c r="E27" s="22">
        <f t="shared" si="0"/>
        <v>0.127933333333333</v>
      </c>
      <c r="F27" s="25">
        <f t="shared" si="4"/>
        <v>0.843887423043096</v>
      </c>
      <c r="I27" s="19" t="s">
        <v>29</v>
      </c>
      <c r="J27" s="4">
        <v>0.1161</v>
      </c>
      <c r="K27" s="4">
        <v>0.1293</v>
      </c>
      <c r="L27" s="4">
        <v>0.1384</v>
      </c>
      <c r="M27" s="22">
        <f t="shared" si="2"/>
        <v>0.127933333333333</v>
      </c>
      <c r="N27" s="2">
        <f t="shared" si="5"/>
        <v>1.44884862212156</v>
      </c>
    </row>
    <row r="28" spans="1:14">
      <c r="A28" s="19" t="s">
        <v>30</v>
      </c>
      <c r="B28" s="4">
        <v>0.1629</v>
      </c>
      <c r="C28" s="4">
        <v>0.1904</v>
      </c>
      <c r="D28" s="4">
        <v>0.1561</v>
      </c>
      <c r="E28" s="22">
        <f t="shared" si="0"/>
        <v>0.1698</v>
      </c>
      <c r="F28" s="25">
        <f t="shared" si="4"/>
        <v>1.12005277044855</v>
      </c>
      <c r="I28" s="19" t="s">
        <v>30</v>
      </c>
      <c r="J28" s="4">
        <v>0.1629</v>
      </c>
      <c r="K28" s="4">
        <v>0.1904</v>
      </c>
      <c r="L28" s="4">
        <v>0.1561</v>
      </c>
      <c r="M28" s="22">
        <f t="shared" si="2"/>
        <v>0.1698</v>
      </c>
      <c r="N28" s="2">
        <f t="shared" si="5"/>
        <v>1.92298980747452</v>
      </c>
    </row>
    <row r="29" spans="1:14">
      <c r="A29" s="19" t="s">
        <v>31</v>
      </c>
      <c r="B29" s="4">
        <v>0.1582</v>
      </c>
      <c r="C29" s="4">
        <v>0.1533</v>
      </c>
      <c r="D29" s="4">
        <v>0.1695</v>
      </c>
      <c r="E29" s="22">
        <f t="shared" si="0"/>
        <v>0.160333333333333</v>
      </c>
      <c r="F29" s="25">
        <f t="shared" si="4"/>
        <v>1.05760773966579</v>
      </c>
      <c r="I29" s="19" t="s">
        <v>31</v>
      </c>
      <c r="J29" s="4">
        <v>0.1582</v>
      </c>
      <c r="K29" s="4">
        <v>0.1533</v>
      </c>
      <c r="L29" s="4">
        <v>0.1695</v>
      </c>
      <c r="M29" s="22">
        <f t="shared" si="2"/>
        <v>0.160333333333333</v>
      </c>
      <c r="N29" s="2">
        <f t="shared" si="5"/>
        <v>1.81577953944885</v>
      </c>
    </row>
    <row r="30" spans="1:14">
      <c r="A30" s="19" t="s">
        <v>32</v>
      </c>
      <c r="B30" s="4">
        <v>0.085</v>
      </c>
      <c r="C30" s="4">
        <v>0.0823</v>
      </c>
      <c r="D30" s="4">
        <v>0.0887</v>
      </c>
      <c r="E30" s="22">
        <f t="shared" si="0"/>
        <v>0.0853333333333333</v>
      </c>
      <c r="F30" s="25">
        <f t="shared" si="4"/>
        <v>0.562884784520668</v>
      </c>
      <c r="I30" s="19" t="s">
        <v>32</v>
      </c>
      <c r="J30" s="4">
        <v>0.085</v>
      </c>
      <c r="K30" s="4">
        <v>0.0823</v>
      </c>
      <c r="L30" s="4">
        <v>0.0887</v>
      </c>
      <c r="M30" s="22">
        <f t="shared" si="2"/>
        <v>0.0853333333333333</v>
      </c>
      <c r="N30" s="2">
        <f t="shared" si="5"/>
        <v>0.96640241600604</v>
      </c>
    </row>
    <row r="31" spans="1:14">
      <c r="A31" s="19" t="s">
        <v>33</v>
      </c>
      <c r="B31" s="6">
        <v>0.1361</v>
      </c>
      <c r="C31" s="6">
        <v>0.1261</v>
      </c>
      <c r="E31" s="22">
        <f t="shared" si="0"/>
        <v>0.0874</v>
      </c>
      <c r="F31" s="25">
        <f t="shared" si="4"/>
        <v>0.576517150395778</v>
      </c>
      <c r="I31" s="19" t="s">
        <v>33</v>
      </c>
      <c r="J31" s="6">
        <v>0.1361</v>
      </c>
      <c r="K31" s="6">
        <v>0.1261</v>
      </c>
      <c r="M31" s="22">
        <f t="shared" si="2"/>
        <v>0.0874</v>
      </c>
      <c r="N31" s="2">
        <f t="shared" si="5"/>
        <v>0.989807474518686</v>
      </c>
    </row>
    <row r="32" spans="1:14">
      <c r="A32" s="19" t="s">
        <v>34</v>
      </c>
      <c r="B32" s="4">
        <v>0.1136</v>
      </c>
      <c r="C32" s="4">
        <v>0.1045</v>
      </c>
      <c r="D32" s="4">
        <v>0.1107</v>
      </c>
      <c r="E32" s="22">
        <f t="shared" si="0"/>
        <v>0.1096</v>
      </c>
      <c r="F32" s="25">
        <f t="shared" si="4"/>
        <v>0.722955145118734</v>
      </c>
      <c r="I32" s="19" t="s">
        <v>34</v>
      </c>
      <c r="J32" s="4">
        <v>0.1136</v>
      </c>
      <c r="K32" s="4">
        <v>0.1045</v>
      </c>
      <c r="L32" s="4">
        <v>0.1107</v>
      </c>
      <c r="M32" s="22">
        <f t="shared" si="2"/>
        <v>0.1096</v>
      </c>
      <c r="N32" s="2">
        <f t="shared" si="5"/>
        <v>1.24122310305776</v>
      </c>
    </row>
    <row r="33" spans="1:14">
      <c r="A33" s="19" t="s">
        <v>35</v>
      </c>
      <c r="B33" s="4">
        <v>0.1168</v>
      </c>
      <c r="C33" s="4">
        <v>0.1182</v>
      </c>
      <c r="D33" s="4">
        <v>0.1067</v>
      </c>
      <c r="E33" s="22">
        <f t="shared" si="0"/>
        <v>0.1139</v>
      </c>
      <c r="F33" s="25">
        <f t="shared" si="4"/>
        <v>0.75131926121372</v>
      </c>
      <c r="I33" s="19" t="s">
        <v>35</v>
      </c>
      <c r="J33" s="4">
        <v>0.1168</v>
      </c>
      <c r="K33" s="4">
        <v>0.1182</v>
      </c>
      <c r="L33" s="4">
        <v>0.1067</v>
      </c>
      <c r="M33" s="22">
        <f t="shared" si="2"/>
        <v>0.1139</v>
      </c>
      <c r="N33" s="2">
        <f t="shared" si="5"/>
        <v>1.28992072480181</v>
      </c>
    </row>
    <row r="34" spans="1:14">
      <c r="A34" s="19" t="s">
        <v>36</v>
      </c>
      <c r="B34" s="4">
        <v>0.1039</v>
      </c>
      <c r="C34" s="4">
        <v>0.1054</v>
      </c>
      <c r="D34" s="4">
        <v>0.1207</v>
      </c>
      <c r="E34" s="22">
        <f t="shared" si="0"/>
        <v>0.11</v>
      </c>
      <c r="F34" s="25">
        <f t="shared" si="4"/>
        <v>0.725593667546174</v>
      </c>
      <c r="I34" s="19" t="s">
        <v>36</v>
      </c>
      <c r="J34" s="4">
        <v>0.1039</v>
      </c>
      <c r="K34" s="4">
        <v>0.1054</v>
      </c>
      <c r="L34" s="4">
        <v>0.1207</v>
      </c>
      <c r="M34" s="22">
        <f t="shared" si="2"/>
        <v>0.11</v>
      </c>
      <c r="N34" s="2">
        <f t="shared" si="5"/>
        <v>1.24575311438279</v>
      </c>
    </row>
    <row r="35" spans="1:14">
      <c r="A35" s="19" t="s">
        <v>37</v>
      </c>
      <c r="B35" s="4">
        <v>0.0997</v>
      </c>
      <c r="C35" s="4">
        <v>0.0946</v>
      </c>
      <c r="D35" s="4">
        <v>0.1169</v>
      </c>
      <c r="E35" s="22">
        <f t="shared" si="0"/>
        <v>0.103733333333333</v>
      </c>
      <c r="F35" s="25">
        <f t="shared" si="4"/>
        <v>0.684256816182938</v>
      </c>
      <c r="I35" s="19" t="s">
        <v>37</v>
      </c>
      <c r="J35" s="4">
        <v>0.0997</v>
      </c>
      <c r="K35" s="4">
        <v>0.0946</v>
      </c>
      <c r="L35" s="4">
        <v>0.1169</v>
      </c>
      <c r="M35" s="22">
        <f t="shared" si="2"/>
        <v>0.103733333333333</v>
      </c>
      <c r="N35" s="2">
        <f t="shared" si="5"/>
        <v>1.17478293695734</v>
      </c>
    </row>
    <row r="36" spans="1:14">
      <c r="A36" s="19" t="s">
        <v>38</v>
      </c>
      <c r="B36" s="4">
        <v>0.1184</v>
      </c>
      <c r="C36" s="4">
        <v>0.1008</v>
      </c>
      <c r="D36" s="4">
        <v>0.1092</v>
      </c>
      <c r="E36" s="22">
        <f t="shared" si="0"/>
        <v>0.109466666666667</v>
      </c>
      <c r="F36" s="25">
        <f t="shared" si="4"/>
        <v>0.72207563764292</v>
      </c>
      <c r="I36" s="19" t="s">
        <v>38</v>
      </c>
      <c r="J36" s="4">
        <v>0.1184</v>
      </c>
      <c r="K36" s="4">
        <v>0.1008</v>
      </c>
      <c r="L36" s="4">
        <v>0.1092</v>
      </c>
      <c r="M36" s="22">
        <f t="shared" si="2"/>
        <v>0.109466666666667</v>
      </c>
      <c r="N36" s="2">
        <f t="shared" si="5"/>
        <v>1.23971309928275</v>
      </c>
    </row>
    <row r="37" spans="1:14">
      <c r="A37" s="19" t="s">
        <v>39</v>
      </c>
      <c r="B37" s="6">
        <v>0.128</v>
      </c>
      <c r="C37" s="6">
        <v>0.1072</v>
      </c>
      <c r="D37" s="6">
        <v>0.1131</v>
      </c>
      <c r="E37" s="22">
        <f t="shared" si="0"/>
        <v>0.1161</v>
      </c>
      <c r="F37" s="25">
        <f t="shared" si="4"/>
        <v>0.765831134564644</v>
      </c>
      <c r="I37" s="19" t="s">
        <v>39</v>
      </c>
      <c r="J37" s="6">
        <v>0.128</v>
      </c>
      <c r="K37" s="6">
        <v>0.1072</v>
      </c>
      <c r="L37" s="6">
        <v>0.1131</v>
      </c>
      <c r="M37" s="22">
        <f t="shared" si="2"/>
        <v>0.1161</v>
      </c>
      <c r="N37" s="2">
        <f t="shared" si="5"/>
        <v>1.31483578708947</v>
      </c>
    </row>
    <row r="38" spans="1:14">
      <c r="A38" s="19" t="s">
        <v>40</v>
      </c>
      <c r="B38" s="6">
        <v>0.1391</v>
      </c>
      <c r="C38" s="6">
        <v>0.1401</v>
      </c>
      <c r="D38" s="6">
        <v>0.142</v>
      </c>
      <c r="E38" s="22">
        <f t="shared" si="0"/>
        <v>0.1404</v>
      </c>
      <c r="F38" s="25">
        <f t="shared" si="4"/>
        <v>0.926121372031662</v>
      </c>
      <c r="I38" s="19" t="s">
        <v>40</v>
      </c>
      <c r="J38" s="6">
        <v>0.1391</v>
      </c>
      <c r="K38" s="6">
        <v>0.1401</v>
      </c>
      <c r="L38" s="6">
        <v>0.142</v>
      </c>
      <c r="M38" s="22">
        <f t="shared" si="2"/>
        <v>0.1404</v>
      </c>
      <c r="N38" s="2">
        <f t="shared" si="5"/>
        <v>1.59003397508494</v>
      </c>
    </row>
    <row r="39" spans="1:14">
      <c r="A39" s="19" t="s">
        <v>41</v>
      </c>
      <c r="B39" s="6">
        <v>0.1302</v>
      </c>
      <c r="C39" s="6">
        <v>0.1455</v>
      </c>
      <c r="D39" s="6">
        <v>0.1567</v>
      </c>
      <c r="E39" s="22">
        <f t="shared" si="0"/>
        <v>0.144133333333333</v>
      </c>
      <c r="F39" s="25">
        <f t="shared" si="4"/>
        <v>0.950747581354441</v>
      </c>
      <c r="I39" s="19" t="s">
        <v>41</v>
      </c>
      <c r="J39" s="6">
        <v>0.1302</v>
      </c>
      <c r="K39" s="6">
        <v>0.1455</v>
      </c>
      <c r="L39" s="6">
        <v>0.1567</v>
      </c>
      <c r="M39" s="22">
        <f t="shared" si="2"/>
        <v>0.144133333333333</v>
      </c>
      <c r="N39" s="2">
        <f t="shared" si="5"/>
        <v>1.6323140807852</v>
      </c>
    </row>
    <row r="40" spans="1:14">
      <c r="A40" s="19" t="s">
        <v>42</v>
      </c>
      <c r="B40" s="4">
        <v>0.1231</v>
      </c>
      <c r="C40" s="4">
        <v>0.1171</v>
      </c>
      <c r="D40" s="4">
        <v>0.1027</v>
      </c>
      <c r="E40" s="22">
        <f t="shared" si="0"/>
        <v>0.1143</v>
      </c>
      <c r="F40" s="25">
        <f t="shared" si="4"/>
        <v>0.753957783641161</v>
      </c>
      <c r="I40" s="19" t="s">
        <v>42</v>
      </c>
      <c r="J40" s="4">
        <v>0.1231</v>
      </c>
      <c r="K40" s="4">
        <v>0.1171</v>
      </c>
      <c r="L40" s="4">
        <v>0.1027</v>
      </c>
      <c r="M40" s="22">
        <f t="shared" si="2"/>
        <v>0.1143</v>
      </c>
      <c r="N40" s="2">
        <f t="shared" si="5"/>
        <v>1.29445073612684</v>
      </c>
    </row>
    <row r="41" spans="1:27">
      <c r="A41" s="13" t="s">
        <v>43</v>
      </c>
      <c r="B41" s="14">
        <v>0.1199</v>
      </c>
      <c r="C41" s="14">
        <v>0.1187</v>
      </c>
      <c r="D41" s="14">
        <v>0.116</v>
      </c>
      <c r="E41" s="22">
        <f t="shared" si="0"/>
        <v>0.1182</v>
      </c>
      <c r="F41" s="25">
        <f t="shared" ref="F41:F52" si="6">E41/0.116</f>
        <v>1.01896551724138</v>
      </c>
      <c r="I41" s="13" t="s">
        <v>43</v>
      </c>
      <c r="J41" s="14">
        <v>0.1199</v>
      </c>
      <c r="K41" s="14">
        <v>0.1187</v>
      </c>
      <c r="L41" s="14">
        <v>0.116</v>
      </c>
      <c r="M41" s="22">
        <f t="shared" si="2"/>
        <v>0.1182</v>
      </c>
      <c r="N41" s="2">
        <f>M41/0.099</f>
        <v>1.19393939393939</v>
      </c>
      <c r="R41" s="37" t="s">
        <v>4</v>
      </c>
      <c r="S41" s="38">
        <v>0.116</v>
      </c>
      <c r="T41" s="39">
        <v>0.1087</v>
      </c>
      <c r="U41" s="39">
        <v>0.1135</v>
      </c>
      <c r="V41" s="39">
        <v>0.1255</v>
      </c>
      <c r="W41" s="39">
        <v>0.1087</v>
      </c>
      <c r="X41" s="39">
        <v>0.1179</v>
      </c>
      <c r="Y41" s="39">
        <v>0.1151</v>
      </c>
      <c r="Z41" s="39">
        <v>0.1168</v>
      </c>
      <c r="AA41" s="6">
        <v>0.1212</v>
      </c>
    </row>
    <row r="42" spans="1:26">
      <c r="A42" s="13" t="s">
        <v>44</v>
      </c>
      <c r="B42" s="14">
        <v>0.1245</v>
      </c>
      <c r="C42" s="14">
        <v>0.1226</v>
      </c>
      <c r="D42" s="14">
        <v>0.1206</v>
      </c>
      <c r="E42" s="22">
        <f t="shared" si="0"/>
        <v>0.122566666666667</v>
      </c>
      <c r="F42" s="25">
        <f t="shared" si="6"/>
        <v>1.0566091954023</v>
      </c>
      <c r="I42" s="13" t="s">
        <v>44</v>
      </c>
      <c r="J42" s="14">
        <v>0.1245</v>
      </c>
      <c r="K42" s="14">
        <v>0.1226</v>
      </c>
      <c r="L42" s="14">
        <v>0.1206</v>
      </c>
      <c r="M42" s="22">
        <f t="shared" si="2"/>
        <v>0.122566666666667</v>
      </c>
      <c r="N42" s="2">
        <f>M42/0.099</f>
        <v>1.23804713804714</v>
      </c>
      <c r="R42" s="37">
        <v>2962</v>
      </c>
      <c r="S42" s="38">
        <f>(T42+U42+V42+W42)/4</f>
        <v>0.098975</v>
      </c>
      <c r="T42" s="39">
        <v>0.0968</v>
      </c>
      <c r="U42" s="39">
        <v>0.0991</v>
      </c>
      <c r="V42" s="39">
        <v>0.0971</v>
      </c>
      <c r="W42" s="39">
        <v>0.1029</v>
      </c>
      <c r="Z42" s="38">
        <f>(T42+U42+V42+W42)/4</f>
        <v>0.098975</v>
      </c>
    </row>
    <row r="43" spans="1:14">
      <c r="A43" s="13" t="s">
        <v>45</v>
      </c>
      <c r="B43" s="14">
        <v>0.0707</v>
      </c>
      <c r="C43" s="14">
        <v>0.07</v>
      </c>
      <c r="D43" s="14">
        <v>0.0692</v>
      </c>
      <c r="E43" s="22">
        <f t="shared" si="0"/>
        <v>0.0699666666666667</v>
      </c>
      <c r="F43" s="25">
        <f t="shared" si="6"/>
        <v>0.60316091954023</v>
      </c>
      <c r="I43" s="13" t="s">
        <v>45</v>
      </c>
      <c r="J43" s="14">
        <v>0.0707</v>
      </c>
      <c r="K43" s="14">
        <v>0.07</v>
      </c>
      <c r="L43" s="14">
        <v>0.0692</v>
      </c>
      <c r="M43" s="22">
        <f t="shared" si="2"/>
        <v>0.0699666666666667</v>
      </c>
      <c r="N43" s="2">
        <f>M43/0.099</f>
        <v>0.706734006734007</v>
      </c>
    </row>
    <row r="44" spans="1:14">
      <c r="A44" s="13" t="s">
        <v>46</v>
      </c>
      <c r="B44" s="14">
        <v>0.137</v>
      </c>
      <c r="C44" s="14">
        <v>0.1243</v>
      </c>
      <c r="D44" s="14">
        <v>0.1301</v>
      </c>
      <c r="E44" s="22">
        <f t="shared" si="0"/>
        <v>0.130466666666667</v>
      </c>
      <c r="F44" s="25">
        <f t="shared" si="6"/>
        <v>1.12471264367816</v>
      </c>
      <c r="I44" s="13" t="s">
        <v>46</v>
      </c>
      <c r="J44" s="14">
        <v>0.137</v>
      </c>
      <c r="K44" s="14">
        <v>0.1243</v>
      </c>
      <c r="L44" s="14">
        <v>0.1301</v>
      </c>
      <c r="M44" s="22">
        <f t="shared" si="2"/>
        <v>0.130466666666667</v>
      </c>
      <c r="N44" s="2">
        <f t="shared" ref="N44:N52" si="7">M44/0.099</f>
        <v>1.31784511784512</v>
      </c>
    </row>
    <row r="45" spans="1:14">
      <c r="A45" s="13" t="s">
        <v>47</v>
      </c>
      <c r="B45" s="14">
        <v>0.1287</v>
      </c>
      <c r="C45" s="14">
        <v>0.1404</v>
      </c>
      <c r="D45" s="14">
        <v>0.1301</v>
      </c>
      <c r="E45" s="22">
        <f t="shared" si="0"/>
        <v>0.133066666666667</v>
      </c>
      <c r="F45" s="25">
        <f t="shared" si="6"/>
        <v>1.14712643678161</v>
      </c>
      <c r="I45" s="13" t="s">
        <v>47</v>
      </c>
      <c r="J45" s="14">
        <v>0.1287</v>
      </c>
      <c r="K45" s="14">
        <v>0.1404</v>
      </c>
      <c r="L45" s="14">
        <v>0.1301</v>
      </c>
      <c r="M45" s="22">
        <f t="shared" si="2"/>
        <v>0.133066666666667</v>
      </c>
      <c r="N45" s="2">
        <f t="shared" si="7"/>
        <v>1.34410774410774</v>
      </c>
    </row>
    <row r="46" spans="1:14">
      <c r="A46" s="13" t="s">
        <v>48</v>
      </c>
      <c r="B46" s="14">
        <v>0.12</v>
      </c>
      <c r="C46" s="14">
        <v>0.1212</v>
      </c>
      <c r="D46" s="14">
        <v>0.1291</v>
      </c>
      <c r="E46" s="22">
        <f t="shared" si="0"/>
        <v>0.123433333333333</v>
      </c>
      <c r="F46" s="25">
        <f t="shared" si="6"/>
        <v>1.06408045977011</v>
      </c>
      <c r="I46" s="13" t="s">
        <v>48</v>
      </c>
      <c r="J46" s="14">
        <v>0.12</v>
      </c>
      <c r="K46" s="14">
        <v>0.1212</v>
      </c>
      <c r="L46" s="14">
        <v>0.1291</v>
      </c>
      <c r="M46" s="22">
        <f t="shared" si="2"/>
        <v>0.123433333333333</v>
      </c>
      <c r="N46" s="2">
        <f t="shared" si="7"/>
        <v>1.24680134680135</v>
      </c>
    </row>
    <row r="47" spans="1:14">
      <c r="A47" s="13" t="s">
        <v>49</v>
      </c>
      <c r="B47" s="14">
        <v>0.1082</v>
      </c>
      <c r="C47" s="14">
        <v>0.1169</v>
      </c>
      <c r="D47" s="14">
        <v>0.1029</v>
      </c>
      <c r="E47" s="22">
        <f t="shared" si="0"/>
        <v>0.109333333333333</v>
      </c>
      <c r="F47" s="25">
        <f t="shared" si="6"/>
        <v>0.942528735632184</v>
      </c>
      <c r="I47" s="13" t="s">
        <v>49</v>
      </c>
      <c r="J47" s="14">
        <v>0.1082</v>
      </c>
      <c r="K47" s="14">
        <v>0.1169</v>
      </c>
      <c r="L47" s="14">
        <v>0.1029</v>
      </c>
      <c r="M47" s="22">
        <f t="shared" si="2"/>
        <v>0.109333333333333</v>
      </c>
      <c r="N47" s="2">
        <f t="shared" si="7"/>
        <v>1.1043771043771</v>
      </c>
    </row>
    <row r="48" spans="1:14">
      <c r="A48" s="13" t="s">
        <v>50</v>
      </c>
      <c r="B48" s="14">
        <v>0.1068</v>
      </c>
      <c r="C48" s="14">
        <v>0.1056</v>
      </c>
      <c r="D48" s="14">
        <v>0.1027</v>
      </c>
      <c r="E48" s="22">
        <f t="shared" si="0"/>
        <v>0.105033333333333</v>
      </c>
      <c r="F48" s="25">
        <f t="shared" si="6"/>
        <v>0.905459770114942</v>
      </c>
      <c r="I48" s="13" t="s">
        <v>50</v>
      </c>
      <c r="J48" s="14">
        <v>0.1068</v>
      </c>
      <c r="K48" s="14">
        <v>0.1056</v>
      </c>
      <c r="L48" s="14">
        <v>0.1027</v>
      </c>
      <c r="M48" s="22">
        <f t="shared" si="2"/>
        <v>0.105033333333333</v>
      </c>
      <c r="N48" s="2">
        <f t="shared" si="7"/>
        <v>1.06094276094276</v>
      </c>
    </row>
    <row r="49" spans="1:14">
      <c r="A49" s="13" t="s">
        <v>51</v>
      </c>
      <c r="B49" s="14">
        <v>0.1337</v>
      </c>
      <c r="C49" s="14">
        <v>0.1298</v>
      </c>
      <c r="D49" s="14">
        <v>0.1241</v>
      </c>
      <c r="E49" s="22">
        <f t="shared" si="0"/>
        <v>0.1292</v>
      </c>
      <c r="F49" s="25">
        <f t="shared" si="6"/>
        <v>1.11379310344828</v>
      </c>
      <c r="I49" s="13" t="s">
        <v>51</v>
      </c>
      <c r="J49" s="14">
        <v>0.1337</v>
      </c>
      <c r="K49" s="14">
        <v>0.1298</v>
      </c>
      <c r="L49" s="14">
        <v>0.1241</v>
      </c>
      <c r="M49" s="22">
        <f t="shared" si="2"/>
        <v>0.1292</v>
      </c>
      <c r="N49" s="2">
        <f t="shared" si="7"/>
        <v>1.30505050505051</v>
      </c>
    </row>
    <row r="50" spans="1:14">
      <c r="A50" s="13" t="s">
        <v>52</v>
      </c>
      <c r="B50" s="14">
        <v>0.114</v>
      </c>
      <c r="C50" s="14">
        <v>0.1138</v>
      </c>
      <c r="D50" s="14">
        <v>0.1059</v>
      </c>
      <c r="E50" s="22">
        <f t="shared" si="0"/>
        <v>0.111233333333333</v>
      </c>
      <c r="F50" s="25">
        <f t="shared" si="6"/>
        <v>0.958908045977012</v>
      </c>
      <c r="I50" s="13" t="s">
        <v>52</v>
      </c>
      <c r="J50" s="14">
        <v>0.114</v>
      </c>
      <c r="K50" s="14">
        <v>0.1138</v>
      </c>
      <c r="L50" s="14">
        <v>0.1059</v>
      </c>
      <c r="M50" s="22">
        <f t="shared" si="2"/>
        <v>0.111233333333333</v>
      </c>
      <c r="N50" s="2">
        <f t="shared" si="7"/>
        <v>1.12356902356902</v>
      </c>
    </row>
    <row r="51" spans="1:14">
      <c r="A51" s="13" t="s">
        <v>53</v>
      </c>
      <c r="B51" s="14">
        <v>0.0733</v>
      </c>
      <c r="C51" s="14">
        <v>0.074</v>
      </c>
      <c r="D51" s="14">
        <v>0.0725</v>
      </c>
      <c r="E51" s="22">
        <f t="shared" si="0"/>
        <v>0.0732666666666667</v>
      </c>
      <c r="F51" s="25">
        <f t="shared" si="6"/>
        <v>0.631609195402299</v>
      </c>
      <c r="I51" s="13" t="s">
        <v>53</v>
      </c>
      <c r="J51" s="14">
        <v>0.0733</v>
      </c>
      <c r="K51" s="14">
        <v>0.074</v>
      </c>
      <c r="L51" s="14">
        <v>0.0725</v>
      </c>
      <c r="M51" s="22">
        <f t="shared" si="2"/>
        <v>0.0732666666666667</v>
      </c>
      <c r="N51" s="2">
        <f t="shared" si="7"/>
        <v>0.74006734006734</v>
      </c>
    </row>
    <row r="52" spans="1:14">
      <c r="A52" s="13" t="s">
        <v>54</v>
      </c>
      <c r="B52" s="14">
        <v>0.1126</v>
      </c>
      <c r="C52" s="14">
        <v>0.1188</v>
      </c>
      <c r="D52" s="14">
        <v>0.1144</v>
      </c>
      <c r="E52" s="22">
        <f t="shared" si="0"/>
        <v>0.115266666666667</v>
      </c>
      <c r="F52" s="25">
        <f t="shared" si="6"/>
        <v>0.99367816091954</v>
      </c>
      <c r="I52" s="13" t="s">
        <v>54</v>
      </c>
      <c r="J52" s="14">
        <v>0.1126</v>
      </c>
      <c r="K52" s="14">
        <v>0.1188</v>
      </c>
      <c r="L52" s="14">
        <v>0.1144</v>
      </c>
      <c r="M52" s="22">
        <f t="shared" si="2"/>
        <v>0.115266666666667</v>
      </c>
      <c r="N52" s="2">
        <f t="shared" si="7"/>
        <v>1.16430976430976</v>
      </c>
    </row>
    <row r="53" spans="1:26">
      <c r="A53" s="15" t="s">
        <v>55</v>
      </c>
      <c r="B53" s="16">
        <v>0.0874</v>
      </c>
      <c r="C53" s="16">
        <v>0.0961</v>
      </c>
      <c r="D53" s="16">
        <v>0.0831</v>
      </c>
      <c r="E53" s="22">
        <f t="shared" si="0"/>
        <v>0.0888666666666667</v>
      </c>
      <c r="F53" s="25">
        <f t="shared" ref="F53:F69" si="8">E53/0.132</f>
        <v>0.673232323232323</v>
      </c>
      <c r="I53" s="15" t="s">
        <v>55</v>
      </c>
      <c r="J53" s="16">
        <v>0.0874</v>
      </c>
      <c r="K53" s="16">
        <v>0.0961</v>
      </c>
      <c r="L53" s="16">
        <v>0.0831</v>
      </c>
      <c r="M53" s="22">
        <f t="shared" si="2"/>
        <v>0.0888666666666667</v>
      </c>
      <c r="N53" s="2">
        <f>M53/0.0918</f>
        <v>0.968046477850399</v>
      </c>
      <c r="R53" s="40" t="s">
        <v>4</v>
      </c>
      <c r="S53" s="41">
        <f>(T53+U53+V53+W53+Y53+Z53)/6</f>
        <v>0.131966666666667</v>
      </c>
      <c r="T53" s="39">
        <v>0.1231</v>
      </c>
      <c r="U53" s="39">
        <v>0.1311</v>
      </c>
      <c r="V53" s="39">
        <v>0.1542</v>
      </c>
      <c r="W53" s="39">
        <v>0.1082</v>
      </c>
      <c r="X53" s="39">
        <v>0.1319</v>
      </c>
      <c r="Y53" s="39">
        <v>0.1283</v>
      </c>
      <c r="Z53" s="39">
        <v>0.1469</v>
      </c>
    </row>
    <row r="54" spans="1:26">
      <c r="A54" s="15" t="s">
        <v>56</v>
      </c>
      <c r="B54" s="14">
        <v>0.1318</v>
      </c>
      <c r="C54" s="14">
        <v>0.1335</v>
      </c>
      <c r="D54" s="14">
        <v>0.165</v>
      </c>
      <c r="E54" s="22">
        <f t="shared" si="0"/>
        <v>0.143433333333333</v>
      </c>
      <c r="F54" s="25">
        <f t="shared" si="8"/>
        <v>1.08661616161616</v>
      </c>
      <c r="I54" s="15" t="s">
        <v>56</v>
      </c>
      <c r="J54" s="14">
        <v>0.1318</v>
      </c>
      <c r="K54" s="14">
        <v>0.1335</v>
      </c>
      <c r="L54" s="14">
        <v>0.165</v>
      </c>
      <c r="M54" s="22">
        <f t="shared" si="2"/>
        <v>0.143433333333333</v>
      </c>
      <c r="N54" s="2">
        <f t="shared" ref="N54:N70" si="9">M54/0.0918</f>
        <v>1.56245461147422</v>
      </c>
      <c r="R54" s="40">
        <v>2962</v>
      </c>
      <c r="S54" s="41">
        <f>(T54+U54+V54+W54)/4</f>
        <v>0.091825</v>
      </c>
      <c r="T54" s="39">
        <v>0.097</v>
      </c>
      <c r="U54" s="39">
        <v>0.0919</v>
      </c>
      <c r="V54" s="39">
        <v>0.0926</v>
      </c>
      <c r="W54" s="39">
        <v>0.0858</v>
      </c>
      <c r="Z54" s="41">
        <f>(T54+U54+V54+W54)/4</f>
        <v>0.091825</v>
      </c>
    </row>
    <row r="55" spans="1:14">
      <c r="A55" s="15" t="s">
        <v>57</v>
      </c>
      <c r="B55" s="16">
        <v>0.0648</v>
      </c>
      <c r="C55" s="16">
        <v>0.0636</v>
      </c>
      <c r="D55" s="16">
        <v>0.0692</v>
      </c>
      <c r="E55" s="22">
        <f t="shared" si="0"/>
        <v>0.0658666666666667</v>
      </c>
      <c r="F55" s="25">
        <f t="shared" si="8"/>
        <v>0.498989898989899</v>
      </c>
      <c r="I55" s="15" t="s">
        <v>57</v>
      </c>
      <c r="J55" s="16">
        <v>0.0648</v>
      </c>
      <c r="K55" s="16">
        <v>0.0636</v>
      </c>
      <c r="L55" s="16">
        <v>0.0692</v>
      </c>
      <c r="M55" s="22">
        <f t="shared" si="2"/>
        <v>0.0658666666666667</v>
      </c>
      <c r="N55" s="2">
        <f t="shared" si="9"/>
        <v>0.717501815541031</v>
      </c>
    </row>
    <row r="56" spans="1:14">
      <c r="A56" s="15" t="s">
        <v>58</v>
      </c>
      <c r="B56" s="6">
        <v>0.1481</v>
      </c>
      <c r="C56" s="6">
        <v>0.1457</v>
      </c>
      <c r="D56" s="6">
        <v>0.1445</v>
      </c>
      <c r="E56" s="22">
        <f t="shared" si="0"/>
        <v>0.1461</v>
      </c>
      <c r="F56" s="25">
        <f t="shared" si="8"/>
        <v>1.10681818181818</v>
      </c>
      <c r="I56" s="15" t="s">
        <v>58</v>
      </c>
      <c r="J56" s="6">
        <v>0.1481</v>
      </c>
      <c r="K56" s="6">
        <v>0.1457</v>
      </c>
      <c r="L56" s="6">
        <v>0.1445</v>
      </c>
      <c r="M56" s="22">
        <f t="shared" si="2"/>
        <v>0.1461</v>
      </c>
      <c r="N56" s="2">
        <f t="shared" si="9"/>
        <v>1.59150326797386</v>
      </c>
    </row>
    <row r="57" spans="1:14">
      <c r="A57" s="15" t="s">
        <v>59</v>
      </c>
      <c r="B57" s="16">
        <v>0.0958</v>
      </c>
      <c r="C57" s="16">
        <v>0.0987</v>
      </c>
      <c r="D57" s="16">
        <v>0.1014</v>
      </c>
      <c r="E57" s="22">
        <f t="shared" si="0"/>
        <v>0.0986333333333333</v>
      </c>
      <c r="F57" s="25">
        <f t="shared" si="8"/>
        <v>0.747222222222222</v>
      </c>
      <c r="I57" s="15" t="s">
        <v>59</v>
      </c>
      <c r="J57" s="16">
        <v>0.0958</v>
      </c>
      <c r="K57" s="16">
        <v>0.0987</v>
      </c>
      <c r="L57" s="16">
        <v>0.1014</v>
      </c>
      <c r="M57" s="22">
        <f t="shared" si="2"/>
        <v>0.0986333333333333</v>
      </c>
      <c r="N57" s="2">
        <f t="shared" si="9"/>
        <v>1.07443718228032</v>
      </c>
    </row>
    <row r="58" spans="1:14">
      <c r="A58" s="15" t="s">
        <v>60</v>
      </c>
      <c r="B58" s="16">
        <v>0.0715</v>
      </c>
      <c r="C58" s="16">
        <v>0.0718</v>
      </c>
      <c r="D58" s="16">
        <v>0.0712</v>
      </c>
      <c r="E58" s="22">
        <f t="shared" si="0"/>
        <v>0.0715</v>
      </c>
      <c r="F58" s="25">
        <f t="shared" si="8"/>
        <v>0.541666666666667</v>
      </c>
      <c r="I58" s="15" t="s">
        <v>60</v>
      </c>
      <c r="J58" s="16">
        <v>0.0715</v>
      </c>
      <c r="K58" s="16">
        <v>0.0718</v>
      </c>
      <c r="L58" s="16">
        <v>0.0712</v>
      </c>
      <c r="M58" s="22">
        <f t="shared" si="2"/>
        <v>0.0715</v>
      </c>
      <c r="N58" s="2">
        <f t="shared" si="9"/>
        <v>0.778867102396514</v>
      </c>
    </row>
    <row r="59" spans="1:14">
      <c r="A59" s="15" t="s">
        <v>61</v>
      </c>
      <c r="B59" s="6">
        <v>0.1342</v>
      </c>
      <c r="C59" s="6">
        <v>0.1403</v>
      </c>
      <c r="D59" s="6">
        <v>0.1519</v>
      </c>
      <c r="E59" s="22">
        <f t="shared" si="0"/>
        <v>0.142133333333333</v>
      </c>
      <c r="F59" s="25">
        <f t="shared" si="8"/>
        <v>1.07676767676768</v>
      </c>
      <c r="I59" s="15" t="s">
        <v>61</v>
      </c>
      <c r="J59" s="6">
        <v>0.1342</v>
      </c>
      <c r="K59" s="6">
        <v>0.1403</v>
      </c>
      <c r="L59" s="6">
        <v>0.1519</v>
      </c>
      <c r="M59" s="22">
        <f t="shared" si="2"/>
        <v>0.142133333333333</v>
      </c>
      <c r="N59" s="2">
        <f t="shared" si="9"/>
        <v>1.54829339143065</v>
      </c>
    </row>
    <row r="60" spans="1:14">
      <c r="A60" s="15" t="s">
        <v>62</v>
      </c>
      <c r="B60" s="16">
        <v>0.0862</v>
      </c>
      <c r="C60" s="16">
        <v>0.0712</v>
      </c>
      <c r="D60" s="16">
        <v>0.067</v>
      </c>
      <c r="E60" s="22">
        <f t="shared" si="0"/>
        <v>0.0748</v>
      </c>
      <c r="F60" s="25">
        <f t="shared" si="8"/>
        <v>0.566666666666667</v>
      </c>
      <c r="I60" s="15" t="s">
        <v>62</v>
      </c>
      <c r="J60" s="16">
        <v>0.0862</v>
      </c>
      <c r="K60" s="16">
        <v>0.0712</v>
      </c>
      <c r="L60" s="16">
        <v>0.067</v>
      </c>
      <c r="M60" s="22">
        <f t="shared" si="2"/>
        <v>0.0748</v>
      </c>
      <c r="N60" s="2">
        <f t="shared" si="9"/>
        <v>0.814814814814815</v>
      </c>
    </row>
    <row r="61" spans="1:14">
      <c r="A61" s="15" t="s">
        <v>63</v>
      </c>
      <c r="B61" s="16">
        <v>0.0727</v>
      </c>
      <c r="C61" s="16">
        <v>0.0702</v>
      </c>
      <c r="D61" s="16">
        <v>0.0711</v>
      </c>
      <c r="E61" s="22">
        <f t="shared" si="0"/>
        <v>0.0713333333333333</v>
      </c>
      <c r="F61" s="25">
        <f t="shared" si="8"/>
        <v>0.54040404040404</v>
      </c>
      <c r="I61" s="15" t="s">
        <v>63</v>
      </c>
      <c r="J61" s="16">
        <v>0.0727</v>
      </c>
      <c r="K61" s="16">
        <v>0.0702</v>
      </c>
      <c r="L61" s="16">
        <v>0.0711</v>
      </c>
      <c r="M61" s="22">
        <f t="shared" si="2"/>
        <v>0.0713333333333333</v>
      </c>
      <c r="N61" s="2">
        <f t="shared" si="9"/>
        <v>0.777051561365287</v>
      </c>
    </row>
    <row r="62" spans="1:14">
      <c r="A62" s="15" t="s">
        <v>64</v>
      </c>
      <c r="B62" s="14">
        <v>0.1263</v>
      </c>
      <c r="C62" s="14">
        <v>0.1492</v>
      </c>
      <c r="D62" s="14">
        <v>0.1331</v>
      </c>
      <c r="E62" s="22">
        <f t="shared" si="0"/>
        <v>0.1362</v>
      </c>
      <c r="F62" s="25">
        <f t="shared" si="8"/>
        <v>1.03181818181818</v>
      </c>
      <c r="I62" s="15" t="s">
        <v>64</v>
      </c>
      <c r="J62" s="14">
        <v>0.1263</v>
      </c>
      <c r="K62" s="14">
        <v>0.1492</v>
      </c>
      <c r="L62" s="14">
        <v>0.1331</v>
      </c>
      <c r="M62" s="22">
        <f t="shared" si="2"/>
        <v>0.1362</v>
      </c>
      <c r="N62" s="2">
        <f t="shared" si="9"/>
        <v>1.48366013071895</v>
      </c>
    </row>
    <row r="63" spans="1:14">
      <c r="A63" s="15" t="s">
        <v>65</v>
      </c>
      <c r="B63" s="14">
        <v>0.1734</v>
      </c>
      <c r="C63" s="14">
        <v>0.1468</v>
      </c>
      <c r="D63" s="14">
        <v>0.1404</v>
      </c>
      <c r="E63" s="22">
        <f t="shared" si="0"/>
        <v>0.153533333333333</v>
      </c>
      <c r="F63" s="25">
        <f t="shared" si="8"/>
        <v>1.16313131313131</v>
      </c>
      <c r="I63" s="15" t="s">
        <v>65</v>
      </c>
      <c r="J63" s="14">
        <v>0.1734</v>
      </c>
      <c r="K63" s="14">
        <v>0.1468</v>
      </c>
      <c r="L63" s="14">
        <v>0.1404</v>
      </c>
      <c r="M63" s="22">
        <f t="shared" si="2"/>
        <v>0.153533333333333</v>
      </c>
      <c r="N63" s="2">
        <f t="shared" si="9"/>
        <v>1.67247639796659</v>
      </c>
    </row>
    <row r="64" spans="1:14">
      <c r="A64" s="15" t="s">
        <v>66</v>
      </c>
      <c r="B64" s="14">
        <v>0.1533</v>
      </c>
      <c r="C64" s="14">
        <v>0.1476</v>
      </c>
      <c r="D64" s="14">
        <v>0.1269</v>
      </c>
      <c r="E64" s="22">
        <f t="shared" si="0"/>
        <v>0.1426</v>
      </c>
      <c r="F64" s="25">
        <f t="shared" si="8"/>
        <v>1.08030303030303</v>
      </c>
      <c r="I64" s="15" t="s">
        <v>66</v>
      </c>
      <c r="J64" s="14">
        <v>0.1533</v>
      </c>
      <c r="K64" s="14">
        <v>0.1476</v>
      </c>
      <c r="L64" s="14">
        <v>0.1269</v>
      </c>
      <c r="M64" s="22">
        <f t="shared" si="2"/>
        <v>0.1426</v>
      </c>
      <c r="N64" s="2">
        <f t="shared" si="9"/>
        <v>1.55337690631808</v>
      </c>
    </row>
    <row r="65" spans="1:14">
      <c r="A65" s="15" t="s">
        <v>67</v>
      </c>
      <c r="B65" s="6">
        <v>0.1506</v>
      </c>
      <c r="C65" s="6">
        <v>0.168</v>
      </c>
      <c r="D65" s="6">
        <v>0.1545</v>
      </c>
      <c r="E65" s="22">
        <f t="shared" si="0"/>
        <v>0.1577</v>
      </c>
      <c r="F65" s="25">
        <f t="shared" si="8"/>
        <v>1.19469696969697</v>
      </c>
      <c r="I65" s="15" t="s">
        <v>67</v>
      </c>
      <c r="J65" s="6">
        <v>0.1506</v>
      </c>
      <c r="K65" s="6">
        <v>0.168</v>
      </c>
      <c r="L65" s="6">
        <v>0.1545</v>
      </c>
      <c r="M65" s="22">
        <f t="shared" si="2"/>
        <v>0.1577</v>
      </c>
      <c r="N65" s="2">
        <f t="shared" si="9"/>
        <v>1.71786492374728</v>
      </c>
    </row>
    <row r="66" spans="1:14">
      <c r="A66" s="15" t="s">
        <v>68</v>
      </c>
      <c r="B66" s="14">
        <v>0.1352</v>
      </c>
      <c r="C66" s="14">
        <v>0.1329</v>
      </c>
      <c r="D66" s="14">
        <v>0.1383</v>
      </c>
      <c r="E66" s="22">
        <f t="shared" ref="E66:E89" si="10">(B66+C66+D66)/3</f>
        <v>0.135466666666667</v>
      </c>
      <c r="F66" s="25">
        <f t="shared" si="8"/>
        <v>1.02626262626263</v>
      </c>
      <c r="I66" s="15" t="s">
        <v>68</v>
      </c>
      <c r="J66" s="14">
        <v>0.1352</v>
      </c>
      <c r="K66" s="14">
        <v>0.1329</v>
      </c>
      <c r="L66" s="14">
        <v>0.1383</v>
      </c>
      <c r="M66" s="22">
        <f t="shared" ref="M66:M89" si="11">(J66+K66+L66)/3</f>
        <v>0.135466666666667</v>
      </c>
      <c r="N66" s="2">
        <f t="shared" si="9"/>
        <v>1.47567175018155</v>
      </c>
    </row>
    <row r="67" spans="1:14">
      <c r="A67" s="15" t="s">
        <v>69</v>
      </c>
      <c r="B67" s="6">
        <v>0.1476</v>
      </c>
      <c r="C67" s="6">
        <v>0.1492</v>
      </c>
      <c r="D67" s="6">
        <v>0.1611</v>
      </c>
      <c r="E67" s="22">
        <f t="shared" si="10"/>
        <v>0.152633333333333</v>
      </c>
      <c r="F67" s="25">
        <f t="shared" si="8"/>
        <v>1.15631313131313</v>
      </c>
      <c r="I67" s="15" t="s">
        <v>69</v>
      </c>
      <c r="J67" s="6">
        <v>0.1476</v>
      </c>
      <c r="K67" s="6">
        <v>0.1492</v>
      </c>
      <c r="L67" s="6">
        <v>0.1611</v>
      </c>
      <c r="M67" s="22">
        <f t="shared" si="11"/>
        <v>0.152633333333333</v>
      </c>
      <c r="N67" s="2">
        <f t="shared" si="9"/>
        <v>1.66267247639797</v>
      </c>
    </row>
    <row r="68" spans="1:14">
      <c r="A68" s="15" t="s">
        <v>70</v>
      </c>
      <c r="B68" s="16">
        <v>0.0694</v>
      </c>
      <c r="C68" s="16">
        <v>0.0698</v>
      </c>
      <c r="D68" s="16">
        <v>0.0687</v>
      </c>
      <c r="E68" s="22">
        <f t="shared" si="10"/>
        <v>0.0693</v>
      </c>
      <c r="F68" s="25">
        <f t="shared" si="8"/>
        <v>0.525</v>
      </c>
      <c r="I68" s="15" t="s">
        <v>70</v>
      </c>
      <c r="J68" s="16">
        <v>0.0694</v>
      </c>
      <c r="K68" s="16">
        <v>0.0698</v>
      </c>
      <c r="L68" s="16">
        <v>0.0687</v>
      </c>
      <c r="M68" s="22">
        <f t="shared" si="11"/>
        <v>0.0693</v>
      </c>
      <c r="N68" s="2">
        <f t="shared" si="9"/>
        <v>0.754901960784313</v>
      </c>
    </row>
    <row r="69" spans="1:14">
      <c r="A69" s="15" t="s">
        <v>71</v>
      </c>
      <c r="B69" s="14">
        <v>0.1491</v>
      </c>
      <c r="C69" s="14">
        <v>0.1616</v>
      </c>
      <c r="D69" s="14">
        <v>0.17</v>
      </c>
      <c r="E69" s="22">
        <f t="shared" si="10"/>
        <v>0.160233333333333</v>
      </c>
      <c r="F69" s="25">
        <f t="shared" si="8"/>
        <v>1.21388888888889</v>
      </c>
      <c r="I69" s="15" t="s">
        <v>71</v>
      </c>
      <c r="J69" s="14">
        <v>0.1491</v>
      </c>
      <c r="K69" s="14">
        <v>0.1616</v>
      </c>
      <c r="L69" s="14">
        <v>0.17</v>
      </c>
      <c r="M69" s="22">
        <f t="shared" si="11"/>
        <v>0.160233333333333</v>
      </c>
      <c r="N69" s="2">
        <f t="shared" si="9"/>
        <v>1.74546114742193</v>
      </c>
    </row>
    <row r="70" spans="1:25">
      <c r="A70" s="18" t="s">
        <v>72</v>
      </c>
      <c r="B70" s="4">
        <v>0.1037</v>
      </c>
      <c r="C70" s="4">
        <v>0.1154</v>
      </c>
      <c r="D70" s="4">
        <v>0.1012</v>
      </c>
      <c r="E70" s="22">
        <f t="shared" si="10"/>
        <v>0.106766666666667</v>
      </c>
      <c r="F70" s="25">
        <f t="shared" ref="F70:F84" si="12">E70/0.1079</f>
        <v>0.989496447327773</v>
      </c>
      <c r="I70" s="18" t="s">
        <v>72</v>
      </c>
      <c r="J70" s="4">
        <v>0.1037</v>
      </c>
      <c r="K70" s="4">
        <v>0.1154</v>
      </c>
      <c r="L70" s="4">
        <v>0.1012</v>
      </c>
      <c r="M70" s="22">
        <f t="shared" si="11"/>
        <v>0.106766666666667</v>
      </c>
      <c r="N70" s="2">
        <f t="shared" si="9"/>
        <v>1.16303558460421</v>
      </c>
      <c r="R70" s="43" t="s">
        <v>4</v>
      </c>
      <c r="S70" s="44">
        <f>(T70+U70+V70+W70+X70+Y70)/6</f>
        <v>0.107933333333333</v>
      </c>
      <c r="T70" s="4">
        <v>0.1086</v>
      </c>
      <c r="U70" s="4">
        <v>0.1159</v>
      </c>
      <c r="V70" s="4">
        <v>0.1079</v>
      </c>
      <c r="W70" s="4">
        <v>0.0979</v>
      </c>
      <c r="X70" s="4">
        <v>0.1067</v>
      </c>
      <c r="Y70" s="4">
        <v>0.1106</v>
      </c>
    </row>
    <row r="71" spans="1:27">
      <c r="A71" s="18" t="s">
        <v>73</v>
      </c>
      <c r="B71" s="4">
        <v>0.1108</v>
      </c>
      <c r="C71" s="4">
        <v>0.1074</v>
      </c>
      <c r="D71" s="4">
        <v>0.1149</v>
      </c>
      <c r="E71" s="22">
        <f t="shared" si="10"/>
        <v>0.111033333333333</v>
      </c>
      <c r="F71" s="25">
        <f t="shared" si="12"/>
        <v>1.02903923385851</v>
      </c>
      <c r="I71" s="18" t="s">
        <v>73</v>
      </c>
      <c r="J71" s="4">
        <v>0.1108</v>
      </c>
      <c r="K71" s="4">
        <v>0.1074</v>
      </c>
      <c r="L71" s="4">
        <v>0.1149</v>
      </c>
      <c r="M71" s="22">
        <f t="shared" si="11"/>
        <v>0.111033333333333</v>
      </c>
      <c r="N71" s="2">
        <f t="shared" ref="N71:N84" si="13">M71/0.0918</f>
        <v>1.20951343500363</v>
      </c>
      <c r="R71" s="43">
        <v>2962</v>
      </c>
      <c r="S71" s="44">
        <f>(U71+V71+W71+X71+Y71+T71)/6</f>
        <v>0.0918166666666667</v>
      </c>
      <c r="T71" s="4">
        <v>0.0898</v>
      </c>
      <c r="U71" s="4">
        <v>0.0908</v>
      </c>
      <c r="V71" s="4">
        <v>0.0887</v>
      </c>
      <c r="W71" s="4">
        <v>0.0993</v>
      </c>
      <c r="X71" s="4">
        <v>0.0891</v>
      </c>
      <c r="Y71" s="4">
        <v>0.0932</v>
      </c>
      <c r="Z71" s="47">
        <f>(T71+U71+V71+W71+X71+Y71)/6</f>
        <v>0.0918166666666667</v>
      </c>
      <c r="AA71" s="4"/>
    </row>
    <row r="72" spans="1:14">
      <c r="A72" s="18" t="s">
        <v>74</v>
      </c>
      <c r="B72" s="4">
        <v>0.118</v>
      </c>
      <c r="C72" s="4">
        <v>0.119</v>
      </c>
      <c r="D72" s="4">
        <v>0.1145</v>
      </c>
      <c r="E72" s="22">
        <f t="shared" si="10"/>
        <v>0.117166666666667</v>
      </c>
      <c r="F72" s="25">
        <f t="shared" si="12"/>
        <v>1.08588198949645</v>
      </c>
      <c r="I72" s="18" t="s">
        <v>74</v>
      </c>
      <c r="J72" s="4">
        <v>0.118</v>
      </c>
      <c r="K72" s="4">
        <v>0.119</v>
      </c>
      <c r="L72" s="4">
        <v>0.1145</v>
      </c>
      <c r="M72" s="22">
        <f t="shared" si="11"/>
        <v>0.117166666666667</v>
      </c>
      <c r="N72" s="2">
        <f t="shared" si="13"/>
        <v>1.2763253449528</v>
      </c>
    </row>
    <row r="73" spans="1:14">
      <c r="A73" s="18" t="s">
        <v>75</v>
      </c>
      <c r="B73" s="4">
        <v>0.1122</v>
      </c>
      <c r="C73" s="4">
        <v>0.1103</v>
      </c>
      <c r="D73" s="4">
        <v>0.1217</v>
      </c>
      <c r="E73" s="22">
        <f t="shared" si="10"/>
        <v>0.114733333333333</v>
      </c>
      <c r="F73" s="25">
        <f t="shared" si="12"/>
        <v>1.06333024405314</v>
      </c>
      <c r="I73" s="18" t="s">
        <v>75</v>
      </c>
      <c r="J73" s="4">
        <v>0.1122</v>
      </c>
      <c r="K73" s="4">
        <v>0.1103</v>
      </c>
      <c r="L73" s="4">
        <v>0.1217</v>
      </c>
      <c r="M73" s="22">
        <f t="shared" si="11"/>
        <v>0.114733333333333</v>
      </c>
      <c r="N73" s="2">
        <f t="shared" si="13"/>
        <v>1.24981844589688</v>
      </c>
    </row>
    <row r="74" spans="1:14">
      <c r="A74" s="18" t="s">
        <v>76</v>
      </c>
      <c r="B74" s="4">
        <v>0.0685</v>
      </c>
      <c r="C74" s="4">
        <v>0.0691</v>
      </c>
      <c r="D74" s="6">
        <v>0.0681</v>
      </c>
      <c r="E74" s="22">
        <f t="shared" si="10"/>
        <v>0.0685666666666667</v>
      </c>
      <c r="F74" s="25">
        <f t="shared" si="12"/>
        <v>0.635464936669756</v>
      </c>
      <c r="I74" s="18" t="s">
        <v>76</v>
      </c>
      <c r="J74" s="4">
        <v>0.0685</v>
      </c>
      <c r="K74" s="4">
        <v>0.0691</v>
      </c>
      <c r="L74" s="6">
        <v>0.0681</v>
      </c>
      <c r="M74" s="22">
        <f t="shared" si="11"/>
        <v>0.0685666666666667</v>
      </c>
      <c r="N74" s="2">
        <f t="shared" si="13"/>
        <v>0.746913580246913</v>
      </c>
    </row>
    <row r="75" spans="1:14">
      <c r="A75" s="18" t="s">
        <v>77</v>
      </c>
      <c r="B75" s="4">
        <v>0.0756</v>
      </c>
      <c r="C75" s="4">
        <v>0.0705</v>
      </c>
      <c r="D75" s="4">
        <v>0.0725</v>
      </c>
      <c r="E75" s="22">
        <f t="shared" si="10"/>
        <v>0.0728666666666667</v>
      </c>
      <c r="F75" s="25">
        <f t="shared" si="12"/>
        <v>0.675316651220266</v>
      </c>
      <c r="I75" s="18" t="s">
        <v>77</v>
      </c>
      <c r="J75" s="4">
        <v>0.0756</v>
      </c>
      <c r="K75" s="4">
        <v>0.0705</v>
      </c>
      <c r="L75" s="4">
        <v>0.0725</v>
      </c>
      <c r="M75" s="22">
        <f t="shared" si="11"/>
        <v>0.0728666666666667</v>
      </c>
      <c r="N75" s="2">
        <f t="shared" si="13"/>
        <v>0.793754538852578</v>
      </c>
    </row>
    <row r="76" spans="1:14">
      <c r="A76" s="18" t="s">
        <v>78</v>
      </c>
      <c r="B76" s="4">
        <v>0.0721</v>
      </c>
      <c r="C76" s="4">
        <v>0.0715</v>
      </c>
      <c r="D76" s="4">
        <v>0.0715</v>
      </c>
      <c r="E76" s="22">
        <f t="shared" si="10"/>
        <v>0.0717</v>
      </c>
      <c r="F76" s="25">
        <f t="shared" si="12"/>
        <v>0.664504170528267</v>
      </c>
      <c r="I76" s="18" t="s">
        <v>78</v>
      </c>
      <c r="J76" s="4">
        <v>0.0721</v>
      </c>
      <c r="K76" s="4">
        <v>0.0715</v>
      </c>
      <c r="L76" s="4">
        <v>0.0715</v>
      </c>
      <c r="M76" s="22">
        <f t="shared" si="11"/>
        <v>0.0717</v>
      </c>
      <c r="N76" s="2">
        <f t="shared" si="13"/>
        <v>0.781045751633987</v>
      </c>
    </row>
    <row r="77" spans="1:14">
      <c r="A77" s="18" t="s">
        <v>79</v>
      </c>
      <c r="B77" s="4">
        <v>0.1108</v>
      </c>
      <c r="C77" s="4">
        <v>0.1072</v>
      </c>
      <c r="D77" s="4">
        <v>0.1087</v>
      </c>
      <c r="E77" s="22">
        <f t="shared" si="10"/>
        <v>0.1089</v>
      </c>
      <c r="F77" s="25">
        <f t="shared" si="12"/>
        <v>1.00926784059314</v>
      </c>
      <c r="I77" s="18" t="s">
        <v>79</v>
      </c>
      <c r="J77" s="4">
        <v>0.1108</v>
      </c>
      <c r="K77" s="4">
        <v>0.1072</v>
      </c>
      <c r="L77" s="4">
        <v>0.1087</v>
      </c>
      <c r="M77" s="22">
        <f t="shared" si="11"/>
        <v>0.1089</v>
      </c>
      <c r="N77" s="2">
        <f t="shared" si="13"/>
        <v>1.18627450980392</v>
      </c>
    </row>
    <row r="78" spans="1:14">
      <c r="A78" s="18" t="s">
        <v>80</v>
      </c>
      <c r="B78" s="4">
        <v>0.1237</v>
      </c>
      <c r="C78" s="4">
        <v>0.1252</v>
      </c>
      <c r="D78" s="4">
        <v>0.1141</v>
      </c>
      <c r="E78" s="22">
        <f t="shared" si="10"/>
        <v>0.121</v>
      </c>
      <c r="F78" s="25">
        <f t="shared" si="12"/>
        <v>1.12140871177016</v>
      </c>
      <c r="I78" s="18" t="s">
        <v>80</v>
      </c>
      <c r="J78" s="4">
        <v>0.1237</v>
      </c>
      <c r="K78" s="4">
        <v>0.1252</v>
      </c>
      <c r="L78" s="4">
        <v>0.1141</v>
      </c>
      <c r="M78" s="22">
        <f t="shared" si="11"/>
        <v>0.121</v>
      </c>
      <c r="N78" s="2">
        <f t="shared" si="13"/>
        <v>1.31808278867102</v>
      </c>
    </row>
    <row r="79" spans="1:14">
      <c r="A79" s="18" t="s">
        <v>81</v>
      </c>
      <c r="B79" s="4">
        <v>0.0742</v>
      </c>
      <c r="C79" s="4">
        <v>0.0785</v>
      </c>
      <c r="D79" s="4">
        <v>0.0735</v>
      </c>
      <c r="E79" s="22">
        <f t="shared" si="10"/>
        <v>0.0754</v>
      </c>
      <c r="F79" s="25">
        <f t="shared" si="12"/>
        <v>0.698795180722892</v>
      </c>
      <c r="I79" s="18" t="s">
        <v>81</v>
      </c>
      <c r="J79" s="4">
        <v>0.0742</v>
      </c>
      <c r="K79" s="4">
        <v>0.0785</v>
      </c>
      <c r="L79" s="4">
        <v>0.0735</v>
      </c>
      <c r="M79" s="22">
        <f t="shared" si="11"/>
        <v>0.0754</v>
      </c>
      <c r="N79" s="2">
        <f t="shared" si="13"/>
        <v>0.821350762527233</v>
      </c>
    </row>
    <row r="80" spans="1:14">
      <c r="A80" s="18" t="s">
        <v>82</v>
      </c>
      <c r="B80" s="4">
        <v>0.1208</v>
      </c>
      <c r="C80" s="4">
        <v>0.1217</v>
      </c>
      <c r="D80" s="4">
        <v>0.1076</v>
      </c>
      <c r="E80" s="22">
        <f t="shared" si="10"/>
        <v>0.1167</v>
      </c>
      <c r="F80" s="25">
        <f t="shared" si="12"/>
        <v>1.08155699721965</v>
      </c>
      <c r="I80" s="18" t="s">
        <v>82</v>
      </c>
      <c r="J80" s="4">
        <v>0.1208</v>
      </c>
      <c r="K80" s="4">
        <v>0.1217</v>
      </c>
      <c r="L80" s="4">
        <v>0.1076</v>
      </c>
      <c r="M80" s="22">
        <f t="shared" si="11"/>
        <v>0.1167</v>
      </c>
      <c r="N80" s="2">
        <f t="shared" si="13"/>
        <v>1.27124183006536</v>
      </c>
    </row>
    <row r="81" spans="1:14">
      <c r="A81" s="18" t="s">
        <v>83</v>
      </c>
      <c r="B81" s="4">
        <v>0.1131</v>
      </c>
      <c r="C81" s="4">
        <v>0.1188</v>
      </c>
      <c r="D81" s="4">
        <v>0.1092</v>
      </c>
      <c r="E81" s="22">
        <f t="shared" si="10"/>
        <v>0.1137</v>
      </c>
      <c r="F81" s="25">
        <f t="shared" si="12"/>
        <v>1.05375347544022</v>
      </c>
      <c r="I81" s="18" t="s">
        <v>83</v>
      </c>
      <c r="J81" s="4">
        <v>0.1131</v>
      </c>
      <c r="K81" s="4">
        <v>0.1188</v>
      </c>
      <c r="L81" s="4">
        <v>0.1092</v>
      </c>
      <c r="M81" s="22">
        <f t="shared" si="11"/>
        <v>0.1137</v>
      </c>
      <c r="N81" s="2">
        <f t="shared" si="13"/>
        <v>1.23856209150327</v>
      </c>
    </row>
    <row r="82" spans="1:14">
      <c r="A82" s="18" t="s">
        <v>84</v>
      </c>
      <c r="B82" s="6">
        <v>0.1113</v>
      </c>
      <c r="C82" s="6">
        <v>0.1144</v>
      </c>
      <c r="D82" s="6">
        <v>0.1043</v>
      </c>
      <c r="E82" s="22">
        <f t="shared" si="10"/>
        <v>0.11</v>
      </c>
      <c r="F82" s="25">
        <f t="shared" si="12"/>
        <v>1.0194624652456</v>
      </c>
      <c r="I82" s="18" t="s">
        <v>84</v>
      </c>
      <c r="J82" s="6">
        <v>0.1113</v>
      </c>
      <c r="K82" s="6">
        <v>0.1144</v>
      </c>
      <c r="L82" s="6">
        <v>0.1043</v>
      </c>
      <c r="M82" s="22">
        <f t="shared" si="11"/>
        <v>0.11</v>
      </c>
      <c r="N82" s="2">
        <f t="shared" si="13"/>
        <v>1.19825708061002</v>
      </c>
    </row>
    <row r="83" spans="1:14">
      <c r="A83" s="18" t="s">
        <v>85</v>
      </c>
      <c r="B83" s="4">
        <v>0.0946</v>
      </c>
      <c r="C83" s="4">
        <v>0.098</v>
      </c>
      <c r="D83" s="4">
        <v>0.1097</v>
      </c>
      <c r="E83" s="22">
        <f t="shared" si="10"/>
        <v>0.100766666666667</v>
      </c>
      <c r="F83" s="25">
        <f t="shared" si="12"/>
        <v>0.933889403768922</v>
      </c>
      <c r="I83" s="18" t="s">
        <v>85</v>
      </c>
      <c r="J83" s="4">
        <v>0.0946</v>
      </c>
      <c r="K83" s="4">
        <v>0.098</v>
      </c>
      <c r="L83" s="4">
        <v>0.1097</v>
      </c>
      <c r="M83" s="22">
        <f t="shared" si="11"/>
        <v>0.100766666666667</v>
      </c>
      <c r="N83" s="2">
        <f t="shared" si="13"/>
        <v>1.09767610748003</v>
      </c>
    </row>
    <row r="84" spans="1:14">
      <c r="A84" s="18" t="s">
        <v>86</v>
      </c>
      <c r="B84" s="4">
        <v>0.0797</v>
      </c>
      <c r="C84" s="4">
        <v>0.0726</v>
      </c>
      <c r="D84" s="4">
        <v>0.0703</v>
      </c>
      <c r="E84" s="22">
        <f t="shared" si="10"/>
        <v>0.0742</v>
      </c>
      <c r="F84" s="25">
        <f t="shared" si="12"/>
        <v>0.687673772011121</v>
      </c>
      <c r="I84" s="18" t="s">
        <v>86</v>
      </c>
      <c r="J84" s="4">
        <v>0.0797</v>
      </c>
      <c r="K84" s="4">
        <v>0.0726</v>
      </c>
      <c r="L84" s="4">
        <v>0.0703</v>
      </c>
      <c r="M84" s="22">
        <f t="shared" si="11"/>
        <v>0.0742</v>
      </c>
      <c r="N84" s="2">
        <f t="shared" si="13"/>
        <v>0.808278867102396</v>
      </c>
    </row>
    <row r="85" spans="1:23">
      <c r="A85" s="20" t="s">
        <v>87</v>
      </c>
      <c r="B85" s="6">
        <v>0.0796</v>
      </c>
      <c r="C85" s="6">
        <v>0.0793</v>
      </c>
      <c r="D85" s="6">
        <v>0.0786</v>
      </c>
      <c r="E85" s="22">
        <f t="shared" si="10"/>
        <v>0.0791666666666667</v>
      </c>
      <c r="F85" s="25">
        <f t="shared" ref="F85:F89" si="14">E85/0.0834</f>
        <v>0.949240607513989</v>
      </c>
      <c r="I85" s="20" t="s">
        <v>87</v>
      </c>
      <c r="J85" s="6">
        <v>0.0796</v>
      </c>
      <c r="K85" s="6">
        <v>0.0793</v>
      </c>
      <c r="L85" s="6">
        <v>0.0786</v>
      </c>
      <c r="M85" s="22">
        <f t="shared" si="11"/>
        <v>0.0791666666666667</v>
      </c>
      <c r="N85" s="2">
        <f>M85/0.0756</f>
        <v>1.04717813051146</v>
      </c>
      <c r="R85" s="45" t="s">
        <v>4</v>
      </c>
      <c r="S85" s="46">
        <v>0.0834</v>
      </c>
      <c r="T85" s="6">
        <v>0.0829</v>
      </c>
      <c r="U85" s="6">
        <v>0.0839</v>
      </c>
      <c r="V85" s="6">
        <v>0.0816</v>
      </c>
      <c r="W85" s="6">
        <v>0.085</v>
      </c>
    </row>
    <row r="86" spans="1:24">
      <c r="A86" s="20" t="s">
        <v>88</v>
      </c>
      <c r="B86" s="6">
        <v>0.089</v>
      </c>
      <c r="C86" s="6">
        <v>0.0941</v>
      </c>
      <c r="D86" s="6">
        <v>0.0902</v>
      </c>
      <c r="E86" s="22">
        <f t="shared" si="10"/>
        <v>0.0911</v>
      </c>
      <c r="F86" s="25">
        <f t="shared" si="14"/>
        <v>1.09232613908873</v>
      </c>
      <c r="I86" s="20" t="s">
        <v>88</v>
      </c>
      <c r="J86" s="6">
        <v>0.089</v>
      </c>
      <c r="K86" s="6">
        <v>0.0941</v>
      </c>
      <c r="L86" s="6">
        <v>0.0902</v>
      </c>
      <c r="M86" s="22">
        <f t="shared" si="11"/>
        <v>0.0911</v>
      </c>
      <c r="N86" s="2">
        <f>M86/0.0756</f>
        <v>1.20502645502646</v>
      </c>
      <c r="R86" s="45">
        <v>2962</v>
      </c>
      <c r="S86" s="46">
        <f>(T86+U86+V86+W86)/4</f>
        <v>0.07555</v>
      </c>
      <c r="T86" s="6">
        <v>0.0781</v>
      </c>
      <c r="U86" s="6">
        <v>0.0764</v>
      </c>
      <c r="V86" s="6">
        <v>0.0732</v>
      </c>
      <c r="W86" s="6">
        <v>0.0745</v>
      </c>
      <c r="X86" s="46">
        <f>(T86+U86+V86+W86)/4</f>
        <v>0.07555</v>
      </c>
    </row>
    <row r="87" spans="1:14">
      <c r="A87" s="20" t="s">
        <v>89</v>
      </c>
      <c r="B87" s="6">
        <v>0.0746</v>
      </c>
      <c r="C87" s="6">
        <v>0.0739</v>
      </c>
      <c r="D87" s="6">
        <v>0.0726</v>
      </c>
      <c r="E87" s="22">
        <f t="shared" si="10"/>
        <v>0.0737</v>
      </c>
      <c r="F87" s="25">
        <f t="shared" si="14"/>
        <v>0.883693045563549</v>
      </c>
      <c r="I87" s="20" t="s">
        <v>89</v>
      </c>
      <c r="J87" s="6">
        <v>0.0746</v>
      </c>
      <c r="K87" s="6">
        <v>0.0739</v>
      </c>
      <c r="L87" s="6">
        <v>0.0726</v>
      </c>
      <c r="M87" s="22">
        <f t="shared" si="11"/>
        <v>0.0737</v>
      </c>
      <c r="N87" s="2">
        <f>M87/0.0756</f>
        <v>0.974867724867725</v>
      </c>
    </row>
    <row r="88" spans="1:14">
      <c r="A88" s="21" t="s">
        <v>90</v>
      </c>
      <c r="B88" s="6">
        <v>0.0884</v>
      </c>
      <c r="C88" s="6">
        <v>0.0868</v>
      </c>
      <c r="D88" s="6">
        <v>0.0836</v>
      </c>
      <c r="E88" s="22">
        <f t="shared" si="10"/>
        <v>0.0862666666666667</v>
      </c>
      <c r="F88" s="25">
        <f t="shared" si="14"/>
        <v>1.0343725019984</v>
      </c>
      <c r="I88" s="21" t="s">
        <v>90</v>
      </c>
      <c r="J88" s="6">
        <v>0.0884</v>
      </c>
      <c r="K88" s="6">
        <v>0.0868</v>
      </c>
      <c r="L88" s="6">
        <v>0.0836</v>
      </c>
      <c r="M88" s="22">
        <f t="shared" si="11"/>
        <v>0.0862666666666667</v>
      </c>
      <c r="N88" s="2">
        <f>M88/0.0756</f>
        <v>1.14109347442681</v>
      </c>
    </row>
    <row r="89" spans="1:14">
      <c r="A89" s="21" t="s">
        <v>91</v>
      </c>
      <c r="B89" s="6">
        <v>0.1163</v>
      </c>
      <c r="C89" s="6">
        <v>0.0981</v>
      </c>
      <c r="D89" s="6">
        <v>0.1015</v>
      </c>
      <c r="E89" s="22">
        <f t="shared" si="10"/>
        <v>0.1053</v>
      </c>
      <c r="F89" s="25">
        <f t="shared" si="14"/>
        <v>1.26258992805755</v>
      </c>
      <c r="I89" s="21" t="s">
        <v>91</v>
      </c>
      <c r="J89" s="6">
        <v>0.1163</v>
      </c>
      <c r="K89" s="6">
        <v>0.0981</v>
      </c>
      <c r="L89" s="6">
        <v>0.1015</v>
      </c>
      <c r="M89" s="22">
        <f t="shared" si="11"/>
        <v>0.1053</v>
      </c>
      <c r="N89" s="2">
        <f>M89/0.0756</f>
        <v>1.39285714285714</v>
      </c>
    </row>
  </sheetData>
  <conditionalFormatting sqref="I$1:I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9"/>
  <sheetViews>
    <sheetView tabSelected="1" topLeftCell="G1" workbookViewId="0">
      <selection activeCell="S1" sqref="S$1:U$1048576"/>
    </sheetView>
  </sheetViews>
  <sheetFormatPr defaultColWidth="9.23076923076923" defaultRowHeight="16.8"/>
  <cols>
    <col min="3" max="3" width="9.23076923076923" style="2"/>
    <col min="5" max="5" width="9.23076923076923" style="2"/>
    <col min="7" max="7" width="9.23076923076923" style="2"/>
    <col min="8" max="8" width="9.125" style="1" customWidth="1"/>
    <col min="9" max="10" width="25.4711538461538" style="2" customWidth="1"/>
    <col min="11" max="11" width="9.23076923076923" style="27"/>
    <col min="15" max="15" width="12.9230769230769"/>
    <col min="16" max="16" width="12.9230769230769" style="2"/>
    <col min="19" max="21" width="9.23076923076923" style="2"/>
    <col min="22" max="22" width="12.9230769230769" style="2"/>
  </cols>
  <sheetData>
    <row r="1" spans="8:22">
      <c r="H1" s="1" t="s">
        <v>0</v>
      </c>
      <c r="I1" s="2" t="s">
        <v>1</v>
      </c>
      <c r="J1" s="2" t="s">
        <v>2</v>
      </c>
      <c r="O1" t="s">
        <v>0</v>
      </c>
      <c r="R1" s="6" t="s">
        <v>14</v>
      </c>
      <c r="S1" s="25">
        <v>1.67698412698413</v>
      </c>
      <c r="T1" s="25">
        <v>1.48492063492063</v>
      </c>
      <c r="U1" s="25">
        <v>1.50079365079365</v>
      </c>
      <c r="V1" s="2">
        <f>(S1+T1+U1)/3</f>
        <v>1.5542328042328</v>
      </c>
    </row>
    <row r="2" spans="1:22">
      <c r="A2" s="7" t="s">
        <v>31</v>
      </c>
      <c r="B2" s="4">
        <v>0.1983</v>
      </c>
      <c r="C2" s="28">
        <f>B2/0.146</f>
        <v>1.35821917808219</v>
      </c>
      <c r="D2" s="4">
        <v>0.1695</v>
      </c>
      <c r="E2" s="28">
        <f>D2/0.146</f>
        <v>1.16095890410959</v>
      </c>
      <c r="F2" s="4">
        <v>0.2038</v>
      </c>
      <c r="G2" s="28">
        <f>F2/0.146</f>
        <v>1.3958904109589</v>
      </c>
      <c r="H2" s="9">
        <f t="shared" ref="H2:H12" si="0">(B2+D2+F2)/3</f>
        <v>0.190533333333333</v>
      </c>
      <c r="I2" s="2">
        <f t="shared" ref="I2:I12" si="1">H2/0.146</f>
        <v>1.30502283105023</v>
      </c>
      <c r="J2" s="2">
        <f t="shared" ref="J2:J12" si="2">H2/0.122</f>
        <v>1.56174863387978</v>
      </c>
      <c r="K2" s="27" t="s">
        <v>4</v>
      </c>
      <c r="L2" s="4">
        <v>0.1484</v>
      </c>
      <c r="M2" s="4">
        <v>0.1457</v>
      </c>
      <c r="N2" s="4">
        <v>0.1438</v>
      </c>
      <c r="O2" s="4">
        <f>(L2+M2+N2)/3</f>
        <v>0.145966666666667</v>
      </c>
      <c r="R2" s="3" t="s">
        <v>58</v>
      </c>
      <c r="S2" s="28">
        <v>1.47465753424658</v>
      </c>
      <c r="T2" s="28">
        <v>1.47602739726027</v>
      </c>
      <c r="U2" s="28">
        <v>1.55890410958904</v>
      </c>
      <c r="V2" s="2">
        <f>(S2+T2+U2)/3</f>
        <v>1.50319634703196</v>
      </c>
    </row>
    <row r="3" spans="1:22">
      <c r="A3" s="3" t="s">
        <v>43</v>
      </c>
      <c r="B3" s="4">
        <v>0.1497</v>
      </c>
      <c r="C3" s="28">
        <f t="shared" ref="C3:C12" si="3">B3/0.146</f>
        <v>1.02534246575342</v>
      </c>
      <c r="D3" s="4">
        <v>0.1488</v>
      </c>
      <c r="E3" s="28">
        <f t="shared" ref="E3:E12" si="4">D3/0.146</f>
        <v>1.01917808219178</v>
      </c>
      <c r="F3" s="4">
        <v>0.1505</v>
      </c>
      <c r="G3" s="28">
        <f t="shared" ref="G3:G12" si="5">F3/0.146</f>
        <v>1.03082191780822</v>
      </c>
      <c r="H3" s="9">
        <f t="shared" si="0"/>
        <v>0.149666666666667</v>
      </c>
      <c r="I3" s="2">
        <f t="shared" si="1"/>
        <v>1.02511415525114</v>
      </c>
      <c r="J3" s="2">
        <f t="shared" si="2"/>
        <v>1.22677595628415</v>
      </c>
      <c r="K3" s="27">
        <v>2962</v>
      </c>
      <c r="L3" s="4">
        <v>0.1252</v>
      </c>
      <c r="M3" s="4">
        <v>0.1181</v>
      </c>
      <c r="N3" s="4">
        <v>0.1227</v>
      </c>
      <c r="O3" s="4">
        <f>(L3+M3+N3)/3</f>
        <v>0.122</v>
      </c>
      <c r="P3" s="2">
        <f>O2/O3</f>
        <v>1.1964480874317</v>
      </c>
      <c r="R3" s="6" t="s">
        <v>90</v>
      </c>
      <c r="S3" s="25">
        <v>1.42857142857143</v>
      </c>
      <c r="T3" s="25">
        <v>1.46031746031746</v>
      </c>
      <c r="U3" s="25">
        <v>1.58015873015873</v>
      </c>
      <c r="V3" s="2">
        <f t="shared" ref="V3:V8" si="6">(S3+T3+U3)/3</f>
        <v>1.48968253968254</v>
      </c>
    </row>
    <row r="4" spans="1:22">
      <c r="A4" s="3" t="s">
        <v>44</v>
      </c>
      <c r="B4" s="4">
        <v>0.2001</v>
      </c>
      <c r="C4" s="28">
        <f t="shared" si="3"/>
        <v>1.37054794520548</v>
      </c>
      <c r="D4" s="4">
        <v>0.2017</v>
      </c>
      <c r="E4" s="28">
        <f t="shared" si="4"/>
        <v>1.38150684931507</v>
      </c>
      <c r="F4" s="4">
        <v>0.1812</v>
      </c>
      <c r="G4" s="28">
        <f t="shared" si="5"/>
        <v>1.24109589041096</v>
      </c>
      <c r="H4" s="9">
        <f t="shared" si="0"/>
        <v>0.194333333333333</v>
      </c>
      <c r="I4" s="2">
        <f t="shared" si="1"/>
        <v>1.3310502283105</v>
      </c>
      <c r="J4" s="2">
        <f t="shared" si="2"/>
        <v>1.59289617486339</v>
      </c>
      <c r="K4" s="27" t="s">
        <v>92</v>
      </c>
      <c r="L4" s="4">
        <v>0.0804</v>
      </c>
      <c r="M4" s="4">
        <v>0.0814</v>
      </c>
      <c r="N4" s="4">
        <v>0.0851</v>
      </c>
      <c r="O4" s="4">
        <f>(L4+M4+N4)/3</f>
        <v>0.0823</v>
      </c>
      <c r="R4" t="s">
        <v>79</v>
      </c>
      <c r="S4" s="28">
        <v>1.39689341189073</v>
      </c>
      <c r="T4" s="28">
        <v>1.54633101231923</v>
      </c>
      <c r="U4" s="28">
        <v>1.38725227637922</v>
      </c>
      <c r="V4" s="2">
        <f t="shared" si="6"/>
        <v>1.44349223352973</v>
      </c>
    </row>
    <row r="5" spans="1:22">
      <c r="A5" s="3" t="s">
        <v>47</v>
      </c>
      <c r="B5" s="4">
        <v>0.1532</v>
      </c>
      <c r="C5" s="28">
        <f t="shared" si="3"/>
        <v>1.04931506849315</v>
      </c>
      <c r="D5" s="4">
        <v>0.1578</v>
      </c>
      <c r="E5" s="28">
        <f t="shared" si="4"/>
        <v>1.08082191780822</v>
      </c>
      <c r="F5" s="4">
        <v>0.1452</v>
      </c>
      <c r="G5" s="28">
        <f t="shared" si="5"/>
        <v>0.994520547945206</v>
      </c>
      <c r="H5" s="9">
        <f t="shared" si="0"/>
        <v>0.152066666666667</v>
      </c>
      <c r="I5" s="2">
        <f t="shared" si="1"/>
        <v>1.04155251141553</v>
      </c>
      <c r="J5" s="2">
        <f t="shared" si="2"/>
        <v>1.24644808743169</v>
      </c>
      <c r="R5" t="s">
        <v>80</v>
      </c>
      <c r="S5" s="28">
        <v>1.46652383502946</v>
      </c>
      <c r="T5" s="28">
        <v>1.23245848955544</v>
      </c>
      <c r="U5" s="28"/>
      <c r="V5" s="2">
        <f>(S5+T5)/2</f>
        <v>1.34949116229245</v>
      </c>
    </row>
    <row r="6" spans="1:22">
      <c r="A6" s="3" t="s">
        <v>58</v>
      </c>
      <c r="B6" s="4">
        <v>0.2153</v>
      </c>
      <c r="C6" s="28">
        <f t="shared" si="3"/>
        <v>1.47465753424658</v>
      </c>
      <c r="D6" s="4">
        <v>0.2155</v>
      </c>
      <c r="E6" s="28">
        <f t="shared" si="4"/>
        <v>1.47602739726027</v>
      </c>
      <c r="F6" s="4">
        <v>0.2276</v>
      </c>
      <c r="G6" s="28">
        <f t="shared" si="5"/>
        <v>1.55890410958904</v>
      </c>
      <c r="H6" s="9">
        <f t="shared" si="0"/>
        <v>0.219466666666667</v>
      </c>
      <c r="I6" s="2">
        <f t="shared" si="1"/>
        <v>1.50319634703196</v>
      </c>
      <c r="J6" s="2">
        <f t="shared" si="2"/>
        <v>1.79890710382514</v>
      </c>
      <c r="R6" s="6" t="s">
        <v>10</v>
      </c>
      <c r="S6" s="25">
        <v>1.36746031746032</v>
      </c>
      <c r="T6" s="25">
        <v>1.32063492063492</v>
      </c>
      <c r="U6" s="25">
        <v>1.3547619047619</v>
      </c>
      <c r="V6" s="2">
        <f t="shared" si="6"/>
        <v>1.34761904761905</v>
      </c>
    </row>
    <row r="7" spans="1:22">
      <c r="A7" s="3" t="s">
        <v>65</v>
      </c>
      <c r="B7" s="4">
        <v>0.1767</v>
      </c>
      <c r="C7" s="28">
        <f t="shared" si="3"/>
        <v>1.21027397260274</v>
      </c>
      <c r="D7" s="4">
        <v>0.1695</v>
      </c>
      <c r="E7" s="28">
        <f t="shared" si="4"/>
        <v>1.16095890410959</v>
      </c>
      <c r="F7" s="4">
        <v>0.177</v>
      </c>
      <c r="G7" s="28">
        <f t="shared" si="5"/>
        <v>1.21232876712329</v>
      </c>
      <c r="H7" s="9">
        <f t="shared" si="0"/>
        <v>0.1744</v>
      </c>
      <c r="I7" s="2">
        <f t="shared" si="1"/>
        <v>1.19452054794521</v>
      </c>
      <c r="J7" s="2">
        <f t="shared" si="2"/>
        <v>1.42950819672131</v>
      </c>
      <c r="R7" s="3" t="s">
        <v>44</v>
      </c>
      <c r="S7" s="28">
        <v>1.37054794520548</v>
      </c>
      <c r="T7" s="28">
        <v>1.38150684931507</v>
      </c>
      <c r="U7" s="28">
        <v>1.24109589041096</v>
      </c>
      <c r="V7" s="2">
        <f t="shared" si="6"/>
        <v>1.3310502283105</v>
      </c>
    </row>
    <row r="8" spans="1:22">
      <c r="A8" s="3" t="s">
        <v>30</v>
      </c>
      <c r="B8" s="4">
        <v>0.1451</v>
      </c>
      <c r="C8" s="28">
        <f t="shared" si="3"/>
        <v>0.993835616438356</v>
      </c>
      <c r="D8" s="4">
        <v>0.1461</v>
      </c>
      <c r="E8" s="28">
        <f t="shared" si="4"/>
        <v>1.00068493150685</v>
      </c>
      <c r="F8" s="5">
        <v>0.1466</v>
      </c>
      <c r="G8" s="28">
        <f t="shared" si="5"/>
        <v>1.0041095890411</v>
      </c>
      <c r="H8" s="9">
        <f t="shared" si="0"/>
        <v>0.145933333333333</v>
      </c>
      <c r="I8" s="2">
        <f t="shared" si="1"/>
        <v>0.999543378995434</v>
      </c>
      <c r="J8" s="2">
        <f t="shared" si="2"/>
        <v>1.19617486338798</v>
      </c>
      <c r="R8" s="7" t="s">
        <v>31</v>
      </c>
      <c r="S8" s="28">
        <v>1.35821917808219</v>
      </c>
      <c r="T8" s="28">
        <v>1.16095890410959</v>
      </c>
      <c r="U8" s="28">
        <v>1.3958904109589</v>
      </c>
      <c r="V8" s="2">
        <f t="shared" si="6"/>
        <v>1.30502283105023</v>
      </c>
    </row>
    <row r="9" spans="1:22">
      <c r="A9" s="3" t="s">
        <v>46</v>
      </c>
      <c r="B9" s="4">
        <v>0.1396</v>
      </c>
      <c r="C9" s="28">
        <f t="shared" si="3"/>
        <v>0.956164383561644</v>
      </c>
      <c r="D9" s="4">
        <v>0.1457</v>
      </c>
      <c r="E9" s="28">
        <f t="shared" si="4"/>
        <v>0.997945205479452</v>
      </c>
      <c r="F9" s="4">
        <v>0.1469</v>
      </c>
      <c r="G9" s="28">
        <f t="shared" si="5"/>
        <v>1.00616438356164</v>
      </c>
      <c r="H9" s="9">
        <f t="shared" si="0"/>
        <v>0.144066666666667</v>
      </c>
      <c r="I9" s="2">
        <f t="shared" si="1"/>
        <v>0.98675799086758</v>
      </c>
      <c r="J9" s="2">
        <f t="shared" si="2"/>
        <v>1.18087431693989</v>
      </c>
      <c r="R9" s="6" t="s">
        <v>91</v>
      </c>
      <c r="S9" s="25">
        <v>1.21666666666667</v>
      </c>
      <c r="T9" s="25">
        <v>1.19444444444444</v>
      </c>
      <c r="U9" s="25">
        <v>1.27619047619048</v>
      </c>
      <c r="V9" s="2">
        <f>(S9+T9+U9)/3</f>
        <v>1.22910052910053</v>
      </c>
    </row>
    <row r="10" spans="1:22">
      <c r="A10" s="3" t="s">
        <v>61</v>
      </c>
      <c r="B10" s="4">
        <v>0.1281</v>
      </c>
      <c r="C10" s="28">
        <f t="shared" si="3"/>
        <v>0.877397260273973</v>
      </c>
      <c r="D10" s="4">
        <v>0.1257</v>
      </c>
      <c r="E10" s="28">
        <f t="shared" si="4"/>
        <v>0.860958904109589</v>
      </c>
      <c r="F10" s="4">
        <v>0.1235</v>
      </c>
      <c r="G10" s="28">
        <f t="shared" si="5"/>
        <v>0.845890410958904</v>
      </c>
      <c r="H10" s="9">
        <f t="shared" si="0"/>
        <v>0.125766666666667</v>
      </c>
      <c r="I10" s="2">
        <f t="shared" si="1"/>
        <v>0.861415525114155</v>
      </c>
      <c r="J10" s="2">
        <f t="shared" si="2"/>
        <v>1.03087431693989</v>
      </c>
      <c r="R10" s="3" t="s">
        <v>65</v>
      </c>
      <c r="S10" s="28">
        <v>1.21027397260274</v>
      </c>
      <c r="T10" s="28">
        <v>1.16095890410959</v>
      </c>
      <c r="U10" s="28">
        <v>1.21232876712329</v>
      </c>
      <c r="V10" s="2">
        <f>(S10+T10+U10)/3</f>
        <v>1.19452054794521</v>
      </c>
    </row>
    <row r="11" spans="1:22">
      <c r="A11" s="3" t="s">
        <v>64</v>
      </c>
      <c r="B11" s="4">
        <v>0.1246</v>
      </c>
      <c r="C11" s="28">
        <f t="shared" si="3"/>
        <v>0.853424657534247</v>
      </c>
      <c r="D11" s="4">
        <v>0.1229</v>
      </c>
      <c r="E11" s="28">
        <f t="shared" si="4"/>
        <v>0.841780821917808</v>
      </c>
      <c r="F11" s="4">
        <v>0.12</v>
      </c>
      <c r="G11" s="28">
        <f t="shared" si="5"/>
        <v>0.821917808219178</v>
      </c>
      <c r="H11" s="9">
        <f t="shared" si="0"/>
        <v>0.1225</v>
      </c>
      <c r="I11" s="2">
        <f t="shared" si="1"/>
        <v>0.839041095890411</v>
      </c>
      <c r="J11" s="2">
        <f t="shared" si="2"/>
        <v>1.00409836065574</v>
      </c>
      <c r="R11" t="s">
        <v>71</v>
      </c>
      <c r="S11" s="28">
        <v>1.22603106588109</v>
      </c>
      <c r="T11" s="28">
        <v>1.17836100696304</v>
      </c>
      <c r="U11" s="28">
        <v>1.11944295661489</v>
      </c>
      <c r="V11" s="2">
        <f>(S11+T11+U11)/3</f>
        <v>1.17461167648634</v>
      </c>
    </row>
    <row r="12" spans="1:22">
      <c r="A12" t="s">
        <v>22</v>
      </c>
      <c r="B12" s="4">
        <v>0.1351</v>
      </c>
      <c r="C12" s="28">
        <f t="shared" si="3"/>
        <v>0.925342465753425</v>
      </c>
      <c r="D12" s="4">
        <v>0.1283</v>
      </c>
      <c r="E12" s="28">
        <f t="shared" si="4"/>
        <v>0.878767123287671</v>
      </c>
      <c r="F12" s="4">
        <v>0.1275</v>
      </c>
      <c r="G12" s="28">
        <f t="shared" si="5"/>
        <v>0.873287671232877</v>
      </c>
      <c r="H12" s="9">
        <f t="shared" si="0"/>
        <v>0.1303</v>
      </c>
      <c r="I12" s="2">
        <f t="shared" si="1"/>
        <v>0.892465753424658</v>
      </c>
      <c r="J12" s="2">
        <f t="shared" si="2"/>
        <v>1.06803278688525</v>
      </c>
      <c r="R12" t="s">
        <v>51</v>
      </c>
      <c r="S12" s="28">
        <v>1.0074986609534</v>
      </c>
      <c r="T12" s="28">
        <v>0.977504017139796</v>
      </c>
      <c r="U12" s="28">
        <v>1.32512051419389</v>
      </c>
      <c r="V12" s="2">
        <f>(S12+T12+U12)/3</f>
        <v>1.10337439742903</v>
      </c>
    </row>
    <row r="13" spans="18:22">
      <c r="R13" s="6" t="s">
        <v>66</v>
      </c>
      <c r="S13" s="25">
        <v>0.933333333333333</v>
      </c>
      <c r="T13" s="25">
        <v>1.18730158730159</v>
      </c>
      <c r="U13" s="25">
        <v>1.18571428571429</v>
      </c>
      <c r="V13" s="2">
        <f>(S13+T13+U13)/3</f>
        <v>1.1021164021164</v>
      </c>
    </row>
    <row r="14" spans="18:22">
      <c r="R14" t="s">
        <v>74</v>
      </c>
      <c r="S14" s="28">
        <v>1.0262453133369</v>
      </c>
      <c r="T14" s="28">
        <v>1.13336904124264</v>
      </c>
      <c r="U14" s="28">
        <v>1.05088377075522</v>
      </c>
      <c r="V14" s="2">
        <f>(S14+T14+U14)/3</f>
        <v>1.07016604177825</v>
      </c>
    </row>
    <row r="15" spans="1:22">
      <c r="A15" t="s">
        <v>56</v>
      </c>
      <c r="B15" s="4">
        <v>0.1891</v>
      </c>
      <c r="C15" s="28">
        <f>B15/0.1867</f>
        <v>1.01285484734869</v>
      </c>
      <c r="D15" s="4">
        <v>0.1773</v>
      </c>
      <c r="E15" s="28">
        <f>D15/0.1867</f>
        <v>0.949651847884306</v>
      </c>
      <c r="F15" s="4">
        <v>0.2141</v>
      </c>
      <c r="G15" s="28">
        <f>F15/0.1867</f>
        <v>1.14675950723085</v>
      </c>
      <c r="H15" s="9">
        <f t="shared" ref="H15:H19" si="7">(B15+D15+F15)/3</f>
        <v>0.1935</v>
      </c>
      <c r="I15" s="2">
        <f t="shared" ref="I15:I29" si="8">H15/0.1867</f>
        <v>1.03642206748795</v>
      </c>
      <c r="J15" s="2">
        <f t="shared" ref="J15:J29" si="9">H15/0.1475</f>
        <v>1.31186440677966</v>
      </c>
      <c r="K15" s="27" t="s">
        <v>4</v>
      </c>
      <c r="L15" s="4">
        <v>0.1991</v>
      </c>
      <c r="M15" s="4">
        <v>0.1857</v>
      </c>
      <c r="N15" s="4">
        <v>0.1753</v>
      </c>
      <c r="O15">
        <f t="shared" ref="O15:O17" si="10">(L15+M15+N15)/3</f>
        <v>0.1867</v>
      </c>
      <c r="R15" t="s">
        <v>68</v>
      </c>
      <c r="S15" s="28">
        <v>1.03160149973219</v>
      </c>
      <c r="T15" s="28">
        <v>1.09962506695233</v>
      </c>
      <c r="U15" s="28">
        <v>1.07177289769684</v>
      </c>
      <c r="V15" s="2">
        <f>(S15+T15+U15)/3</f>
        <v>1.06766648812712</v>
      </c>
    </row>
    <row r="16" spans="1:22">
      <c r="A16" t="s">
        <v>68</v>
      </c>
      <c r="B16" s="4">
        <v>0.1926</v>
      </c>
      <c r="C16" s="28">
        <f t="shared" ref="C16:C29" si="11">B16/0.1867</f>
        <v>1.03160149973219</v>
      </c>
      <c r="D16" s="4">
        <v>0.2053</v>
      </c>
      <c r="E16" s="28">
        <f t="shared" ref="E16:E29" si="12">D16/0.1867</f>
        <v>1.09962506695233</v>
      </c>
      <c r="F16" s="4">
        <v>0.2001</v>
      </c>
      <c r="G16" s="28">
        <f t="shared" ref="G16:G29" si="13">F16/0.1867</f>
        <v>1.07177289769684</v>
      </c>
      <c r="H16" s="9">
        <f t="shared" si="7"/>
        <v>0.199333333333333</v>
      </c>
      <c r="I16" s="2">
        <f t="shared" si="8"/>
        <v>1.06766648812712</v>
      </c>
      <c r="J16" s="2">
        <f t="shared" si="9"/>
        <v>1.35141242937853</v>
      </c>
      <c r="K16" s="27">
        <v>2962</v>
      </c>
      <c r="L16" s="4">
        <v>0.138</v>
      </c>
      <c r="M16" s="4">
        <v>0.1499</v>
      </c>
      <c r="N16" s="4">
        <v>0.1545</v>
      </c>
      <c r="O16" s="4">
        <f t="shared" si="10"/>
        <v>0.147466666666667</v>
      </c>
      <c r="P16" s="2">
        <f>O15/O16</f>
        <v>1.26604882459313</v>
      </c>
      <c r="R16" s="6" t="s">
        <v>93</v>
      </c>
      <c r="S16" s="25">
        <v>1.09761904761905</v>
      </c>
      <c r="T16" s="25">
        <v>1.05396825396825</v>
      </c>
      <c r="U16" s="25">
        <v>1.01904761904762</v>
      </c>
      <c r="V16" s="2">
        <f>(S16+T16+U16)/3</f>
        <v>1.05687830687831</v>
      </c>
    </row>
    <row r="17" spans="1:22">
      <c r="A17" t="s">
        <v>71</v>
      </c>
      <c r="B17" s="4">
        <v>0.2289</v>
      </c>
      <c r="C17" s="28">
        <f t="shared" si="11"/>
        <v>1.22603106588109</v>
      </c>
      <c r="D17" s="4">
        <v>0.22</v>
      </c>
      <c r="E17" s="28">
        <f t="shared" si="12"/>
        <v>1.17836100696304</v>
      </c>
      <c r="F17" s="4">
        <v>0.209</v>
      </c>
      <c r="G17" s="28">
        <f t="shared" si="13"/>
        <v>1.11944295661489</v>
      </c>
      <c r="H17" s="9">
        <f t="shared" si="7"/>
        <v>0.2193</v>
      </c>
      <c r="I17" s="2">
        <f t="shared" si="8"/>
        <v>1.17461167648634</v>
      </c>
      <c r="J17" s="2">
        <f t="shared" si="9"/>
        <v>1.48677966101695</v>
      </c>
      <c r="K17" s="27" t="s">
        <v>92</v>
      </c>
      <c r="L17" s="4">
        <v>0.0869</v>
      </c>
      <c r="M17" s="4">
        <v>0.086</v>
      </c>
      <c r="N17" s="4">
        <v>0.0898</v>
      </c>
      <c r="O17" s="4">
        <f t="shared" si="10"/>
        <v>0.0875666666666667</v>
      </c>
      <c r="R17" s="3" t="s">
        <v>47</v>
      </c>
      <c r="S17" s="28">
        <v>1.04931506849315</v>
      </c>
      <c r="T17" s="28">
        <v>1.08082191780822</v>
      </c>
      <c r="U17" s="28">
        <v>0.994520547945206</v>
      </c>
      <c r="V17" s="2">
        <f>(S17+T17+U17)/3</f>
        <v>1.04155251141553</v>
      </c>
    </row>
    <row r="18" spans="1:22">
      <c r="A18" t="s">
        <v>74</v>
      </c>
      <c r="B18" s="4">
        <v>0.1916</v>
      </c>
      <c r="C18" s="28">
        <f t="shared" si="11"/>
        <v>1.0262453133369</v>
      </c>
      <c r="D18" s="4">
        <v>0.2116</v>
      </c>
      <c r="E18" s="28">
        <f t="shared" si="12"/>
        <v>1.13336904124264</v>
      </c>
      <c r="F18" s="4">
        <v>0.1962</v>
      </c>
      <c r="G18" s="28">
        <f t="shared" si="13"/>
        <v>1.05088377075522</v>
      </c>
      <c r="H18" s="9">
        <f t="shared" si="7"/>
        <v>0.1998</v>
      </c>
      <c r="I18" s="2">
        <f t="shared" si="8"/>
        <v>1.07016604177825</v>
      </c>
      <c r="J18" s="2">
        <f t="shared" si="9"/>
        <v>1.35457627118644</v>
      </c>
      <c r="R18" t="s">
        <v>56</v>
      </c>
      <c r="S18" s="28">
        <v>1.01285484734869</v>
      </c>
      <c r="T18" s="28">
        <v>0.949651847884306</v>
      </c>
      <c r="U18" s="28">
        <v>1.14675950723085</v>
      </c>
      <c r="V18" s="2">
        <f>(S18+T18+U18)/3</f>
        <v>1.03642206748795</v>
      </c>
    </row>
    <row r="19" spans="1:22">
      <c r="A19" t="s">
        <v>79</v>
      </c>
      <c r="B19" s="4">
        <v>0.2608</v>
      </c>
      <c r="C19" s="28">
        <f t="shared" si="11"/>
        <v>1.39689341189073</v>
      </c>
      <c r="D19" s="4">
        <v>0.2887</v>
      </c>
      <c r="E19" s="28">
        <f t="shared" si="12"/>
        <v>1.54633101231923</v>
      </c>
      <c r="F19" s="4">
        <v>0.259</v>
      </c>
      <c r="G19" s="28">
        <f t="shared" si="13"/>
        <v>1.38725227637922</v>
      </c>
      <c r="H19" s="9">
        <f t="shared" si="7"/>
        <v>0.2695</v>
      </c>
      <c r="I19" s="2">
        <f t="shared" si="8"/>
        <v>1.44349223352973</v>
      </c>
      <c r="J19" s="2">
        <f t="shared" si="9"/>
        <v>1.8271186440678</v>
      </c>
      <c r="R19" s="3" t="s">
        <v>43</v>
      </c>
      <c r="S19" s="28">
        <v>1.02534246575342</v>
      </c>
      <c r="T19" s="28">
        <v>1.01917808219178</v>
      </c>
      <c r="U19" s="28">
        <v>1.03082191780822</v>
      </c>
      <c r="V19" s="2">
        <f>(S19+T19+U19)/3</f>
        <v>1.02511415525114</v>
      </c>
    </row>
    <row r="20" spans="1:22">
      <c r="A20" t="s">
        <v>80</v>
      </c>
      <c r="B20" s="4">
        <v>0.2738</v>
      </c>
      <c r="C20" s="28">
        <f t="shared" si="11"/>
        <v>1.46652383502946</v>
      </c>
      <c r="D20" s="4">
        <v>0.2301</v>
      </c>
      <c r="E20" s="28">
        <f t="shared" si="12"/>
        <v>1.23245848955544</v>
      </c>
      <c r="F20" s="3"/>
      <c r="G20" s="28"/>
      <c r="H20" s="10">
        <f>(B20+D20)/2</f>
        <v>0.25195</v>
      </c>
      <c r="I20" s="2">
        <f t="shared" si="8"/>
        <v>1.34949116229245</v>
      </c>
      <c r="J20" s="2">
        <f t="shared" si="9"/>
        <v>1.70813559322034</v>
      </c>
      <c r="R20" s="3" t="s">
        <v>30</v>
      </c>
      <c r="S20" s="28">
        <v>0.993835616438356</v>
      </c>
      <c r="T20" s="28">
        <v>1.00068493150685</v>
      </c>
      <c r="U20" s="28">
        <v>1.0041095890411</v>
      </c>
      <c r="V20" s="2">
        <f>(S20+T20+U20)/3</f>
        <v>0.999543378995434</v>
      </c>
    </row>
    <row r="21" spans="1:22">
      <c r="A21" t="s">
        <v>51</v>
      </c>
      <c r="B21" s="4">
        <v>0.1881</v>
      </c>
      <c r="C21" s="28">
        <f t="shared" si="11"/>
        <v>1.0074986609534</v>
      </c>
      <c r="D21" s="4">
        <v>0.1825</v>
      </c>
      <c r="E21" s="28">
        <f t="shared" si="12"/>
        <v>0.977504017139796</v>
      </c>
      <c r="F21" s="4">
        <v>0.2474</v>
      </c>
      <c r="G21" s="28">
        <f t="shared" si="13"/>
        <v>1.32512051419389</v>
      </c>
      <c r="H21" s="9">
        <f t="shared" ref="H21:H29" si="14">(B21+D21+F21)/3</f>
        <v>0.206</v>
      </c>
      <c r="I21" s="2">
        <f t="shared" si="8"/>
        <v>1.10337439742903</v>
      </c>
      <c r="J21" s="2">
        <f t="shared" si="9"/>
        <v>1.39661016949153</v>
      </c>
      <c r="R21" t="s">
        <v>11</v>
      </c>
      <c r="S21" s="25">
        <v>0.957142857142857</v>
      </c>
      <c r="T21" s="25">
        <v>1.07142857142857</v>
      </c>
      <c r="U21" s="25">
        <v>0.968253968253968</v>
      </c>
      <c r="V21" s="2">
        <f>(S21+T21+U21)/3</f>
        <v>0.998941798941799</v>
      </c>
    </row>
    <row r="22" spans="1:22">
      <c r="A22" t="s">
        <v>67</v>
      </c>
      <c r="B22" s="4">
        <v>0.1669</v>
      </c>
      <c r="C22" s="28">
        <f t="shared" si="11"/>
        <v>0.893947509373326</v>
      </c>
      <c r="D22" s="4">
        <v>0.1537</v>
      </c>
      <c r="E22" s="28">
        <f t="shared" si="12"/>
        <v>0.823245848955544</v>
      </c>
      <c r="F22" s="4">
        <v>0.1665</v>
      </c>
      <c r="G22" s="28">
        <f t="shared" si="13"/>
        <v>0.891805034815212</v>
      </c>
      <c r="H22" s="9">
        <f t="shared" si="14"/>
        <v>0.162366666666667</v>
      </c>
      <c r="I22" s="2">
        <f t="shared" si="8"/>
        <v>0.869666131048027</v>
      </c>
      <c r="J22" s="2">
        <f t="shared" si="9"/>
        <v>1.10079096045198</v>
      </c>
      <c r="R22" s="3" t="s">
        <v>46</v>
      </c>
      <c r="S22" s="28">
        <v>0.956164383561644</v>
      </c>
      <c r="T22" s="28">
        <v>0.997945205479452</v>
      </c>
      <c r="U22" s="28">
        <v>1.00616438356164</v>
      </c>
      <c r="V22" s="2">
        <f>(S22+T22+U22)/3</f>
        <v>0.98675799086758</v>
      </c>
    </row>
    <row r="23" spans="1:22">
      <c r="A23" t="s">
        <v>69</v>
      </c>
      <c r="B23" s="4">
        <v>0.1687</v>
      </c>
      <c r="C23" s="28">
        <f t="shared" si="11"/>
        <v>0.903588644884842</v>
      </c>
      <c r="D23" s="4">
        <v>0.1776</v>
      </c>
      <c r="E23" s="28">
        <f t="shared" si="12"/>
        <v>0.951258703802892</v>
      </c>
      <c r="F23" s="4">
        <v>0.173</v>
      </c>
      <c r="G23" s="28">
        <f t="shared" si="13"/>
        <v>0.926620246384574</v>
      </c>
      <c r="H23" s="9">
        <f t="shared" si="14"/>
        <v>0.1731</v>
      </c>
      <c r="I23" s="2">
        <f t="shared" si="8"/>
        <v>0.927155865024103</v>
      </c>
      <c r="J23" s="2">
        <f t="shared" si="9"/>
        <v>1.1735593220339</v>
      </c>
      <c r="R23" t="s">
        <v>73</v>
      </c>
      <c r="S23" s="28">
        <v>0.984467059453669</v>
      </c>
      <c r="T23" s="28">
        <v>0.970540974825924</v>
      </c>
      <c r="U23" s="28">
        <v>0.945902517407606</v>
      </c>
      <c r="V23" s="2">
        <f>(S23+T23+U23)/3</f>
        <v>0.966970183895733</v>
      </c>
    </row>
    <row r="24" spans="1:22">
      <c r="A24" t="s">
        <v>73</v>
      </c>
      <c r="B24" s="4">
        <v>0.1838</v>
      </c>
      <c r="C24" s="28">
        <f t="shared" si="11"/>
        <v>0.984467059453669</v>
      </c>
      <c r="D24" s="4">
        <v>0.1812</v>
      </c>
      <c r="E24" s="28">
        <f t="shared" si="12"/>
        <v>0.970540974825924</v>
      </c>
      <c r="F24" s="4">
        <v>0.1766</v>
      </c>
      <c r="G24" s="28">
        <f t="shared" si="13"/>
        <v>0.945902517407606</v>
      </c>
      <c r="H24" s="9">
        <f t="shared" si="14"/>
        <v>0.180533333333333</v>
      </c>
      <c r="I24" s="2">
        <f t="shared" si="8"/>
        <v>0.966970183895733</v>
      </c>
      <c r="J24" s="2">
        <f t="shared" si="9"/>
        <v>1.22395480225989</v>
      </c>
      <c r="R24" t="s">
        <v>84</v>
      </c>
      <c r="S24" s="28">
        <v>0.978575254418854</v>
      </c>
      <c r="T24" s="28">
        <v>0.911622924477772</v>
      </c>
      <c r="U24" s="28">
        <v>1</v>
      </c>
      <c r="V24" s="2">
        <f>(S24+T24+U24)/3</f>
        <v>0.963399392965542</v>
      </c>
    </row>
    <row r="25" spans="1:22">
      <c r="A25" t="s">
        <v>75</v>
      </c>
      <c r="B25" s="4">
        <v>0.1729</v>
      </c>
      <c r="C25" s="28">
        <f t="shared" si="11"/>
        <v>0.926084627745046</v>
      </c>
      <c r="D25" s="4">
        <v>0.1482</v>
      </c>
      <c r="E25" s="28">
        <f t="shared" si="12"/>
        <v>0.793786823781468</v>
      </c>
      <c r="F25" s="4">
        <v>0.1641</v>
      </c>
      <c r="G25" s="28">
        <f t="shared" si="13"/>
        <v>0.878950187466524</v>
      </c>
      <c r="H25" s="9">
        <f t="shared" si="14"/>
        <v>0.161733333333333</v>
      </c>
      <c r="I25" s="2">
        <f t="shared" si="8"/>
        <v>0.866273879664346</v>
      </c>
      <c r="J25" s="2">
        <f t="shared" si="9"/>
        <v>1.09649717514124</v>
      </c>
      <c r="R25" t="s">
        <v>83</v>
      </c>
      <c r="S25" s="28">
        <v>0.949116229244778</v>
      </c>
      <c r="T25" s="28">
        <v>0.955008034279593</v>
      </c>
      <c r="U25" s="28">
        <v>0.974825923942153</v>
      </c>
      <c r="V25" s="2">
        <f>(S25+T25+U25)/3</f>
        <v>0.959650062488841</v>
      </c>
    </row>
    <row r="26" spans="1:22">
      <c r="A26" t="s">
        <v>82</v>
      </c>
      <c r="B26" s="4">
        <v>0.1668</v>
      </c>
      <c r="C26" s="28">
        <f t="shared" si="11"/>
        <v>0.893411890733798</v>
      </c>
      <c r="D26" s="4">
        <v>0.1431</v>
      </c>
      <c r="E26" s="28">
        <f t="shared" si="12"/>
        <v>0.766470273165506</v>
      </c>
      <c r="F26" s="4">
        <v>0.1554</v>
      </c>
      <c r="G26" s="28">
        <f t="shared" si="13"/>
        <v>0.832351365827531</v>
      </c>
      <c r="H26" s="9">
        <f t="shared" si="14"/>
        <v>0.1551</v>
      </c>
      <c r="I26" s="2">
        <f t="shared" si="8"/>
        <v>0.830744509908945</v>
      </c>
      <c r="J26" s="2">
        <f t="shared" si="9"/>
        <v>1.05152542372881</v>
      </c>
      <c r="R26" t="s">
        <v>48</v>
      </c>
      <c r="S26" s="28">
        <v>0.911622924477772</v>
      </c>
      <c r="T26" s="28">
        <v>0.94429566148902</v>
      </c>
      <c r="U26" s="28">
        <v>0.933583288698447</v>
      </c>
      <c r="V26" s="2">
        <f>(S26+T26+U26)/3</f>
        <v>0.929833958221746</v>
      </c>
    </row>
    <row r="27" spans="1:22">
      <c r="A27" t="s">
        <v>83</v>
      </c>
      <c r="B27" s="4">
        <v>0.1772</v>
      </c>
      <c r="C27" s="28">
        <f t="shared" si="11"/>
        <v>0.949116229244778</v>
      </c>
      <c r="D27" s="4">
        <v>0.1783</v>
      </c>
      <c r="E27" s="28">
        <f t="shared" si="12"/>
        <v>0.955008034279593</v>
      </c>
      <c r="F27" s="4">
        <v>0.182</v>
      </c>
      <c r="G27" s="28">
        <f t="shared" si="13"/>
        <v>0.974825923942153</v>
      </c>
      <c r="H27" s="9">
        <f t="shared" si="14"/>
        <v>0.179166666666667</v>
      </c>
      <c r="I27" s="2">
        <f t="shared" si="8"/>
        <v>0.959650062488841</v>
      </c>
      <c r="J27" s="2">
        <f t="shared" si="9"/>
        <v>1.21468926553672</v>
      </c>
      <c r="R27" t="s">
        <v>69</v>
      </c>
      <c r="S27" s="28">
        <v>0.903588644884842</v>
      </c>
      <c r="T27" s="28">
        <v>0.951258703802892</v>
      </c>
      <c r="U27" s="28">
        <v>0.926620246384574</v>
      </c>
      <c r="V27" s="2">
        <f>(S27+T27+U27)/3</f>
        <v>0.927155865024103</v>
      </c>
    </row>
    <row r="28" spans="1:22">
      <c r="A28" t="s">
        <v>84</v>
      </c>
      <c r="B28" s="4">
        <v>0.1827</v>
      </c>
      <c r="C28" s="28">
        <f t="shared" si="11"/>
        <v>0.978575254418854</v>
      </c>
      <c r="D28" s="4">
        <v>0.1702</v>
      </c>
      <c r="E28" s="28">
        <f t="shared" si="12"/>
        <v>0.911622924477772</v>
      </c>
      <c r="F28" s="4">
        <v>0.1867</v>
      </c>
      <c r="G28" s="28">
        <f t="shared" si="13"/>
        <v>1</v>
      </c>
      <c r="H28" s="9">
        <f t="shared" si="14"/>
        <v>0.179866666666667</v>
      </c>
      <c r="I28" s="2">
        <f t="shared" si="8"/>
        <v>0.963399392965542</v>
      </c>
      <c r="J28" s="2">
        <f t="shared" si="9"/>
        <v>1.21943502824859</v>
      </c>
      <c r="R28" t="s">
        <v>22</v>
      </c>
      <c r="S28" s="28">
        <v>0.925342465753425</v>
      </c>
      <c r="T28" s="28">
        <v>0.878767123287671</v>
      </c>
      <c r="U28" s="28">
        <v>0.873287671232877</v>
      </c>
      <c r="V28" s="2">
        <f>(S28+T28+U28)/3</f>
        <v>0.892465753424658</v>
      </c>
    </row>
    <row r="29" spans="1:22">
      <c r="A29" t="s">
        <v>48</v>
      </c>
      <c r="B29" s="5">
        <v>0.1702</v>
      </c>
      <c r="C29" s="28">
        <f t="shared" si="11"/>
        <v>0.911622924477772</v>
      </c>
      <c r="D29" s="5">
        <v>0.1763</v>
      </c>
      <c r="E29" s="28">
        <f t="shared" si="12"/>
        <v>0.94429566148902</v>
      </c>
      <c r="F29" s="5">
        <v>0.1743</v>
      </c>
      <c r="G29" s="28">
        <f t="shared" si="13"/>
        <v>0.933583288698447</v>
      </c>
      <c r="H29" s="9">
        <f t="shared" si="14"/>
        <v>0.1736</v>
      </c>
      <c r="I29" s="2">
        <f t="shared" si="8"/>
        <v>0.929833958221746</v>
      </c>
      <c r="J29" s="2">
        <f t="shared" si="9"/>
        <v>1.17694915254237</v>
      </c>
      <c r="R29" t="s">
        <v>88</v>
      </c>
      <c r="S29" s="25">
        <v>0.908730158730159</v>
      </c>
      <c r="T29" s="25">
        <v>0.880952380952381</v>
      </c>
      <c r="U29" s="25">
        <v>0.878571428571429</v>
      </c>
      <c r="V29" s="2">
        <f>(S29+T29+U29)/3</f>
        <v>0.889417989417989</v>
      </c>
    </row>
    <row r="30" spans="2:22">
      <c r="B30" s="5"/>
      <c r="C30" s="29"/>
      <c r="D30" s="5"/>
      <c r="E30" s="29"/>
      <c r="F30" s="5"/>
      <c r="G30" s="29"/>
      <c r="H30" s="30"/>
      <c r="R30" t="s">
        <v>67</v>
      </c>
      <c r="S30" s="28">
        <v>0.893947509373326</v>
      </c>
      <c r="T30" s="28">
        <v>0.823245848955544</v>
      </c>
      <c r="U30" s="28">
        <v>0.891805034815212</v>
      </c>
      <c r="V30" s="2">
        <f>(S30+T30+U30)/3</f>
        <v>0.869666131048027</v>
      </c>
    </row>
    <row r="31" spans="2:22">
      <c r="B31" s="5"/>
      <c r="C31" s="29"/>
      <c r="D31" s="5"/>
      <c r="E31" s="29"/>
      <c r="F31" s="5"/>
      <c r="G31" s="29"/>
      <c r="H31" s="30"/>
      <c r="R31" t="s">
        <v>75</v>
      </c>
      <c r="S31" s="28">
        <v>0.926084627745046</v>
      </c>
      <c r="T31" s="28">
        <v>0.793786823781468</v>
      </c>
      <c r="U31" s="28">
        <v>0.878950187466524</v>
      </c>
      <c r="V31" s="2">
        <f>(S31+T31+U31)/3</f>
        <v>0.866273879664346</v>
      </c>
    </row>
    <row r="32" spans="1:22">
      <c r="A32" s="6" t="s">
        <v>10</v>
      </c>
      <c r="B32" s="6">
        <v>0.1723</v>
      </c>
      <c r="C32" s="25">
        <f>B32/0.126</f>
        <v>1.36746031746032</v>
      </c>
      <c r="D32" s="6">
        <v>0.1664</v>
      </c>
      <c r="E32" s="25">
        <f>D32/0.126</f>
        <v>1.32063492063492</v>
      </c>
      <c r="F32" s="6">
        <v>0.1707</v>
      </c>
      <c r="G32" s="25">
        <f>F32/0.126</f>
        <v>1.3547619047619</v>
      </c>
      <c r="H32" s="1">
        <f t="shared" ref="H32:H39" si="15">(B32+D32+F32)/3</f>
        <v>0.1698</v>
      </c>
      <c r="I32" s="2">
        <f t="shared" ref="I32:I39" si="16">H32/0.126</f>
        <v>1.34761904761905</v>
      </c>
      <c r="J32" s="2">
        <f t="shared" ref="J32:J39" si="17">H32/0.1009</f>
        <v>1.68285431119921</v>
      </c>
      <c r="K32" s="27" t="s">
        <v>4</v>
      </c>
      <c r="L32" s="6">
        <v>0.1131</v>
      </c>
      <c r="M32" s="6">
        <v>0.1298</v>
      </c>
      <c r="N32" s="6">
        <v>0.135</v>
      </c>
      <c r="O32" s="1">
        <f t="shared" ref="O32:O34" si="18">(L32+M32+N32)/3</f>
        <v>0.125966666666667</v>
      </c>
      <c r="R32" s="3" t="s">
        <v>61</v>
      </c>
      <c r="S32" s="28">
        <v>0.877397260273973</v>
      </c>
      <c r="T32" s="28">
        <v>0.860958904109589</v>
      </c>
      <c r="U32" s="28">
        <v>0.845890410958904</v>
      </c>
      <c r="V32" s="2">
        <f>(S32+T32+U32)/3</f>
        <v>0.861415525114155</v>
      </c>
    </row>
    <row r="33" spans="1:22">
      <c r="A33" s="6" t="s">
        <v>66</v>
      </c>
      <c r="B33" s="6">
        <v>0.1176</v>
      </c>
      <c r="C33" s="25">
        <f t="shared" ref="C33:C39" si="19">B33/0.126</f>
        <v>0.933333333333333</v>
      </c>
      <c r="D33" s="6">
        <v>0.1496</v>
      </c>
      <c r="E33" s="25">
        <f t="shared" ref="E33:E39" si="20">D33/0.126</f>
        <v>1.18730158730159</v>
      </c>
      <c r="F33" s="6">
        <v>0.1494</v>
      </c>
      <c r="G33" s="25">
        <f t="shared" ref="G33:G39" si="21">F33/0.126</f>
        <v>1.18571428571429</v>
      </c>
      <c r="H33" s="1">
        <f t="shared" si="15"/>
        <v>0.138866666666667</v>
      </c>
      <c r="I33" s="2">
        <f t="shared" si="16"/>
        <v>1.1021164021164</v>
      </c>
      <c r="J33" s="2">
        <f t="shared" si="17"/>
        <v>1.37628014535844</v>
      </c>
      <c r="K33" s="27">
        <v>2962</v>
      </c>
      <c r="L33" s="6">
        <v>0.1009</v>
      </c>
      <c r="M33" s="6">
        <v>0.1004</v>
      </c>
      <c r="N33" s="6">
        <v>0.1015</v>
      </c>
      <c r="O33" s="1">
        <f t="shared" si="18"/>
        <v>0.100933333333333</v>
      </c>
      <c r="P33" s="2">
        <f>O32/O33</f>
        <v>1.24801849405549</v>
      </c>
      <c r="R33" s="3" t="s">
        <v>64</v>
      </c>
      <c r="S33" s="28">
        <v>0.853424657534247</v>
      </c>
      <c r="T33" s="28">
        <v>0.841780821917808</v>
      </c>
      <c r="U33" s="28">
        <v>0.821917808219178</v>
      </c>
      <c r="V33" s="2">
        <f>(S33+T33+U33)/3</f>
        <v>0.839041095890411</v>
      </c>
    </row>
    <row r="34" spans="1:22">
      <c r="A34" s="6" t="s">
        <v>14</v>
      </c>
      <c r="B34" s="6">
        <v>0.2113</v>
      </c>
      <c r="C34" s="25">
        <f t="shared" si="19"/>
        <v>1.67698412698413</v>
      </c>
      <c r="D34" s="6">
        <v>0.1871</v>
      </c>
      <c r="E34" s="25">
        <f t="shared" si="20"/>
        <v>1.48492063492063</v>
      </c>
      <c r="F34" s="6">
        <v>0.1891</v>
      </c>
      <c r="G34" s="25">
        <f t="shared" si="21"/>
        <v>1.50079365079365</v>
      </c>
      <c r="H34" s="1">
        <f t="shared" si="15"/>
        <v>0.195833333333333</v>
      </c>
      <c r="I34" s="2">
        <f t="shared" si="16"/>
        <v>1.5542328042328</v>
      </c>
      <c r="J34" s="2">
        <f t="shared" si="17"/>
        <v>1.94086554344235</v>
      </c>
      <c r="K34" s="27" t="s">
        <v>92</v>
      </c>
      <c r="L34">
        <v>0.0698</v>
      </c>
      <c r="M34">
        <v>0.0722</v>
      </c>
      <c r="N34">
        <v>0.0732</v>
      </c>
      <c r="O34" s="1">
        <f t="shared" si="18"/>
        <v>0.0717333333333333</v>
      </c>
      <c r="R34" t="s">
        <v>82</v>
      </c>
      <c r="S34" s="28">
        <v>0.893411890733798</v>
      </c>
      <c r="T34" s="28">
        <v>0.766470273165506</v>
      </c>
      <c r="U34" s="28">
        <v>0.832351365827531</v>
      </c>
      <c r="V34" s="2">
        <f>(S34+T34+U34)/3</f>
        <v>0.830744509908945</v>
      </c>
    </row>
    <row r="35" spans="1:10">
      <c r="A35" s="6" t="s">
        <v>93</v>
      </c>
      <c r="B35" s="6">
        <v>0.1383</v>
      </c>
      <c r="C35" s="25">
        <f t="shared" si="19"/>
        <v>1.09761904761905</v>
      </c>
      <c r="D35" s="6">
        <v>0.1328</v>
      </c>
      <c r="E35" s="25">
        <f t="shared" si="20"/>
        <v>1.05396825396825</v>
      </c>
      <c r="F35" s="6">
        <v>0.1284</v>
      </c>
      <c r="G35" s="25">
        <f t="shared" si="21"/>
        <v>1.01904761904762</v>
      </c>
      <c r="H35" s="1">
        <f t="shared" si="15"/>
        <v>0.133166666666667</v>
      </c>
      <c r="I35" s="2">
        <f t="shared" si="16"/>
        <v>1.05687830687831</v>
      </c>
      <c r="J35" s="2">
        <f t="shared" si="17"/>
        <v>1.3197885695408</v>
      </c>
    </row>
    <row r="36" spans="1:10">
      <c r="A36" s="6" t="s">
        <v>91</v>
      </c>
      <c r="B36" s="6">
        <v>0.1533</v>
      </c>
      <c r="C36" s="25">
        <f t="shared" si="19"/>
        <v>1.21666666666667</v>
      </c>
      <c r="D36" s="6">
        <v>0.1505</v>
      </c>
      <c r="E36" s="25">
        <f t="shared" si="20"/>
        <v>1.19444444444444</v>
      </c>
      <c r="F36" s="6">
        <v>0.1608</v>
      </c>
      <c r="G36" s="25">
        <f t="shared" si="21"/>
        <v>1.27619047619048</v>
      </c>
      <c r="H36" s="1">
        <f t="shared" si="15"/>
        <v>0.154866666666667</v>
      </c>
      <c r="I36" s="2">
        <f t="shared" si="16"/>
        <v>1.22910052910053</v>
      </c>
      <c r="J36" s="2">
        <f t="shared" si="17"/>
        <v>1.53485298975884</v>
      </c>
    </row>
    <row r="37" spans="1:10">
      <c r="A37" s="6" t="s">
        <v>90</v>
      </c>
      <c r="B37" s="6">
        <v>0.18</v>
      </c>
      <c r="C37" s="25">
        <f t="shared" si="19"/>
        <v>1.42857142857143</v>
      </c>
      <c r="D37" s="6">
        <v>0.184</v>
      </c>
      <c r="E37" s="25">
        <f t="shared" si="20"/>
        <v>1.46031746031746</v>
      </c>
      <c r="F37" s="6">
        <v>0.1991</v>
      </c>
      <c r="G37" s="25">
        <f t="shared" si="21"/>
        <v>1.58015873015873</v>
      </c>
      <c r="H37" s="1">
        <f t="shared" si="15"/>
        <v>0.1877</v>
      </c>
      <c r="I37" s="2">
        <f t="shared" si="16"/>
        <v>1.48968253968254</v>
      </c>
      <c r="J37" s="2">
        <f t="shared" si="17"/>
        <v>1.86025768087215</v>
      </c>
    </row>
    <row r="38" spans="1:10">
      <c r="A38" t="s">
        <v>11</v>
      </c>
      <c r="B38">
        <v>0.1206</v>
      </c>
      <c r="C38" s="25">
        <f t="shared" si="19"/>
        <v>0.957142857142857</v>
      </c>
      <c r="D38">
        <v>0.135</v>
      </c>
      <c r="E38" s="25">
        <f t="shared" si="20"/>
        <v>1.07142857142857</v>
      </c>
      <c r="F38">
        <v>0.122</v>
      </c>
      <c r="G38" s="25">
        <f t="shared" si="21"/>
        <v>0.968253968253968</v>
      </c>
      <c r="H38" s="1">
        <f t="shared" si="15"/>
        <v>0.125866666666667</v>
      </c>
      <c r="I38" s="2">
        <f t="shared" si="16"/>
        <v>0.998941798941799</v>
      </c>
      <c r="J38" s="2">
        <f t="shared" si="17"/>
        <v>1.24743970928312</v>
      </c>
    </row>
    <row r="39" spans="1:10">
      <c r="A39" t="s">
        <v>88</v>
      </c>
      <c r="B39">
        <v>0.1145</v>
      </c>
      <c r="C39" s="25">
        <f t="shared" si="19"/>
        <v>0.908730158730159</v>
      </c>
      <c r="D39">
        <v>0.111</v>
      </c>
      <c r="E39" s="25">
        <f t="shared" si="20"/>
        <v>0.880952380952381</v>
      </c>
      <c r="F39">
        <v>0.1107</v>
      </c>
      <c r="G39" s="25">
        <f t="shared" si="21"/>
        <v>0.878571428571429</v>
      </c>
      <c r="H39" s="1">
        <f t="shared" si="15"/>
        <v>0.112066666666667</v>
      </c>
      <c r="I39" s="2">
        <f t="shared" si="16"/>
        <v>0.889417989417989</v>
      </c>
      <c r="J39" s="2">
        <f t="shared" si="17"/>
        <v>1.11067063098778</v>
      </c>
    </row>
  </sheetData>
  <sortState ref="R2:V39">
    <sortCondition ref="V2" descending="1"/>
  </sortState>
  <conditionalFormatting sqref="R8">
    <cfRule type="duplicateValues" dxfId="0" priority="1"/>
  </conditionalFormatting>
  <conditionalFormatting sqref="A$1:A$1048576">
    <cfRule type="duplicateValues" dxfId="0" priority="3"/>
  </conditionalFormatting>
  <conditionalFormatting sqref="R9:R1048576 R1:R7">
    <cfRule type="duplicateValues" dxfId="0" priority="2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9"/>
  <sheetViews>
    <sheetView workbookViewId="0">
      <selection activeCell="I1" sqref="I$1:I$1048576"/>
    </sheetView>
  </sheetViews>
  <sheetFormatPr defaultColWidth="9.23076923076923" defaultRowHeight="16.8"/>
  <cols>
    <col min="1" max="5" width="9.23076923076923" style="6"/>
    <col min="6" max="6" width="18.7403846153846" style="2" customWidth="1"/>
    <col min="9" max="13" width="9.23076923076923" style="6"/>
    <col min="14" max="14" width="22.4230769230769" style="6" customWidth="1"/>
  </cols>
  <sheetData>
    <row r="1" spans="5:14">
      <c r="E1" s="22" t="s">
        <v>0</v>
      </c>
      <c r="F1" s="8" t="s">
        <v>2</v>
      </c>
      <c r="M1" s="22" t="s">
        <v>0</v>
      </c>
      <c r="N1" s="24" t="s">
        <v>1</v>
      </c>
    </row>
    <row r="2" spans="1:14">
      <c r="A2" s="13" t="s">
        <v>45</v>
      </c>
      <c r="B2" s="14">
        <v>0.0707</v>
      </c>
      <c r="C2" s="14">
        <v>0.07</v>
      </c>
      <c r="D2" s="14">
        <v>0.0692</v>
      </c>
      <c r="E2" s="22">
        <f t="shared" ref="E2:E65" si="0">(B2+C2+D2)/3</f>
        <v>0.0699666666666667</v>
      </c>
      <c r="F2" s="23">
        <f>E2/0.099</f>
        <v>0.706734006734007</v>
      </c>
      <c r="I2" s="15" t="s">
        <v>57</v>
      </c>
      <c r="J2" s="16">
        <v>0.0648</v>
      </c>
      <c r="K2" s="16">
        <v>0.0636</v>
      </c>
      <c r="L2" s="16">
        <v>0.0692</v>
      </c>
      <c r="M2" s="22">
        <f t="shared" ref="M2:M65" si="1">(J2+K2+L2)/3</f>
        <v>0.0658666666666667</v>
      </c>
      <c r="N2" s="25">
        <f>M2/0.132</f>
        <v>0.498989898989899</v>
      </c>
    </row>
    <row r="3" spans="1:14">
      <c r="A3" s="15" t="s">
        <v>57</v>
      </c>
      <c r="B3" s="16">
        <v>0.0648</v>
      </c>
      <c r="C3" s="16">
        <v>0.0636</v>
      </c>
      <c r="D3" s="16">
        <v>0.0692</v>
      </c>
      <c r="E3" s="22">
        <f t="shared" si="0"/>
        <v>0.0658666666666667</v>
      </c>
      <c r="F3" s="23">
        <f>E3/0.0918</f>
        <v>0.717501815541031</v>
      </c>
      <c r="I3" s="15" t="s">
        <v>70</v>
      </c>
      <c r="J3" s="16">
        <v>0.0694</v>
      </c>
      <c r="K3" s="16">
        <v>0.0698</v>
      </c>
      <c r="L3" s="16">
        <v>0.0687</v>
      </c>
      <c r="M3" s="22">
        <f t="shared" si="1"/>
        <v>0.0693</v>
      </c>
      <c r="N3" s="25">
        <f>M3/0.132</f>
        <v>0.525</v>
      </c>
    </row>
    <row r="4" spans="1:14">
      <c r="A4" s="17" t="s">
        <v>8</v>
      </c>
      <c r="B4" s="4">
        <v>0.0786</v>
      </c>
      <c r="C4" s="4">
        <v>0.0726</v>
      </c>
      <c r="D4" s="4">
        <v>0.0788</v>
      </c>
      <c r="E4" s="22">
        <f t="shared" si="0"/>
        <v>0.0766666666666667</v>
      </c>
      <c r="F4" s="23">
        <f>E4/0.1039</f>
        <v>0.737888995829323</v>
      </c>
      <c r="I4" s="15" t="s">
        <v>63</v>
      </c>
      <c r="J4" s="16">
        <v>0.0727</v>
      </c>
      <c r="K4" s="16">
        <v>0.0702</v>
      </c>
      <c r="L4" s="16">
        <v>0.0711</v>
      </c>
      <c r="M4" s="22">
        <f t="shared" si="1"/>
        <v>0.0713333333333333</v>
      </c>
      <c r="N4" s="25">
        <f>M4/0.132</f>
        <v>0.54040404040404</v>
      </c>
    </row>
    <row r="5" spans="1:14">
      <c r="A5" s="17" t="s">
        <v>21</v>
      </c>
      <c r="B5" s="4">
        <v>0.0784</v>
      </c>
      <c r="C5" s="4">
        <v>0.0764</v>
      </c>
      <c r="D5" s="4">
        <v>0.0756</v>
      </c>
      <c r="E5" s="22">
        <f t="shared" si="0"/>
        <v>0.0768</v>
      </c>
      <c r="F5" s="23">
        <f>E5/0.1039</f>
        <v>0.739172281039461</v>
      </c>
      <c r="I5" s="15" t="s">
        <v>60</v>
      </c>
      <c r="J5" s="16">
        <v>0.0715</v>
      </c>
      <c r="K5" s="16">
        <v>0.0718</v>
      </c>
      <c r="L5" s="16">
        <v>0.0712</v>
      </c>
      <c r="M5" s="22">
        <f t="shared" si="1"/>
        <v>0.0715</v>
      </c>
      <c r="N5" s="25">
        <f>M5/0.132</f>
        <v>0.541666666666667</v>
      </c>
    </row>
    <row r="6" spans="1:14">
      <c r="A6" s="13" t="s">
        <v>53</v>
      </c>
      <c r="B6" s="14">
        <v>0.0733</v>
      </c>
      <c r="C6" s="14">
        <v>0.074</v>
      </c>
      <c r="D6" s="14">
        <v>0.0725</v>
      </c>
      <c r="E6" s="22">
        <f t="shared" si="0"/>
        <v>0.0732666666666667</v>
      </c>
      <c r="F6" s="23">
        <f>E6/0.099</f>
        <v>0.74006734006734</v>
      </c>
      <c r="I6" s="19" t="s">
        <v>26</v>
      </c>
      <c r="J6" s="4">
        <v>0.0809</v>
      </c>
      <c r="K6" s="4">
        <v>0.0838</v>
      </c>
      <c r="L6" s="4">
        <v>0.0844</v>
      </c>
      <c r="M6" s="22">
        <f t="shared" si="1"/>
        <v>0.0830333333333333</v>
      </c>
      <c r="N6" s="25">
        <f>M6/0.1516</f>
        <v>0.547713280562885</v>
      </c>
    </row>
    <row r="7" spans="1:14">
      <c r="A7" s="18" t="s">
        <v>76</v>
      </c>
      <c r="B7" s="4">
        <v>0.0685</v>
      </c>
      <c r="C7" s="4">
        <v>0.0691</v>
      </c>
      <c r="D7" s="6">
        <v>0.0681</v>
      </c>
      <c r="E7" s="22">
        <f t="shared" si="0"/>
        <v>0.0685666666666667</v>
      </c>
      <c r="F7" s="23">
        <f>E7/0.0918</f>
        <v>0.746913580246913</v>
      </c>
      <c r="I7" s="19" t="s">
        <v>32</v>
      </c>
      <c r="J7" s="4">
        <v>0.085</v>
      </c>
      <c r="K7" s="4">
        <v>0.0823</v>
      </c>
      <c r="L7" s="4">
        <v>0.0887</v>
      </c>
      <c r="M7" s="22">
        <f t="shared" si="1"/>
        <v>0.0853333333333333</v>
      </c>
      <c r="N7" s="25">
        <f>M7/0.1516</f>
        <v>0.562884784520668</v>
      </c>
    </row>
    <row r="8" spans="1:14">
      <c r="A8" s="15" t="s">
        <v>70</v>
      </c>
      <c r="B8" s="16">
        <v>0.0694</v>
      </c>
      <c r="C8" s="16">
        <v>0.0698</v>
      </c>
      <c r="D8" s="16">
        <v>0.0687</v>
      </c>
      <c r="E8" s="22">
        <f t="shared" si="0"/>
        <v>0.0693</v>
      </c>
      <c r="F8" s="23">
        <f>E8/0.0918</f>
        <v>0.754901960784313</v>
      </c>
      <c r="I8" s="15" t="s">
        <v>62</v>
      </c>
      <c r="J8" s="16">
        <v>0.0862</v>
      </c>
      <c r="K8" s="16">
        <v>0.0712</v>
      </c>
      <c r="L8" s="16">
        <v>0.067</v>
      </c>
      <c r="M8" s="22">
        <f t="shared" si="1"/>
        <v>0.0748</v>
      </c>
      <c r="N8" s="25">
        <f>M8/0.132</f>
        <v>0.566666666666667</v>
      </c>
    </row>
    <row r="9" spans="1:14">
      <c r="A9" s="17" t="s">
        <v>12</v>
      </c>
      <c r="B9" s="4">
        <v>0.0738</v>
      </c>
      <c r="C9" s="4">
        <v>0.0842</v>
      </c>
      <c r="D9" s="4">
        <v>0.0829</v>
      </c>
      <c r="E9" s="22">
        <f t="shared" si="0"/>
        <v>0.0803</v>
      </c>
      <c r="F9" s="23">
        <f>E9/0.1039</f>
        <v>0.772858517805582</v>
      </c>
      <c r="I9" s="19" t="s">
        <v>33</v>
      </c>
      <c r="J9" s="6">
        <v>0.1361</v>
      </c>
      <c r="K9" s="6">
        <v>0.1261</v>
      </c>
      <c r="M9" s="22">
        <f t="shared" si="1"/>
        <v>0.0874</v>
      </c>
      <c r="N9" s="25">
        <f>M9/0.1516</f>
        <v>0.576517150395778</v>
      </c>
    </row>
    <row r="10" spans="1:14">
      <c r="A10" s="15" t="s">
        <v>63</v>
      </c>
      <c r="B10" s="16">
        <v>0.0727</v>
      </c>
      <c r="C10" s="16">
        <v>0.0702</v>
      </c>
      <c r="D10" s="16">
        <v>0.0711</v>
      </c>
      <c r="E10" s="22">
        <f t="shared" si="0"/>
        <v>0.0713333333333333</v>
      </c>
      <c r="F10" s="23">
        <f>E10/0.0918</f>
        <v>0.777051561365287</v>
      </c>
      <c r="I10" s="19" t="s">
        <v>24</v>
      </c>
      <c r="J10" s="4">
        <v>0.0673</v>
      </c>
      <c r="K10" s="4">
        <v>0.0998</v>
      </c>
      <c r="L10" s="4">
        <v>0.0976</v>
      </c>
      <c r="M10" s="22">
        <f t="shared" si="1"/>
        <v>0.0882333333333333</v>
      </c>
      <c r="N10" s="25">
        <f>M10/0.1516</f>
        <v>0.582014072119613</v>
      </c>
    </row>
    <row r="11" spans="1:14">
      <c r="A11" s="15" t="s">
        <v>60</v>
      </c>
      <c r="B11" s="16">
        <v>0.0715</v>
      </c>
      <c r="C11" s="16">
        <v>0.0718</v>
      </c>
      <c r="D11" s="16">
        <v>0.0712</v>
      </c>
      <c r="E11" s="22">
        <f t="shared" si="0"/>
        <v>0.0715</v>
      </c>
      <c r="F11" s="23">
        <f>E11/0.0918</f>
        <v>0.778867102396514</v>
      </c>
      <c r="I11" s="19" t="s">
        <v>23</v>
      </c>
      <c r="J11" s="4">
        <v>0.0894</v>
      </c>
      <c r="K11" s="4">
        <v>0.0862</v>
      </c>
      <c r="L11" s="4">
        <v>0.0933</v>
      </c>
      <c r="M11" s="22">
        <f t="shared" si="1"/>
        <v>0.0896333333333333</v>
      </c>
      <c r="N11" s="25">
        <f>M11/0.1516</f>
        <v>0.591248900615655</v>
      </c>
    </row>
    <row r="12" spans="1:14">
      <c r="A12" s="18" t="s">
        <v>78</v>
      </c>
      <c r="B12" s="4">
        <v>0.0721</v>
      </c>
      <c r="C12" s="4">
        <v>0.0715</v>
      </c>
      <c r="D12" s="4">
        <v>0.0715</v>
      </c>
      <c r="E12" s="22">
        <f t="shared" si="0"/>
        <v>0.0717</v>
      </c>
      <c r="F12" s="23">
        <f>E12/0.0918</f>
        <v>0.781045751633987</v>
      </c>
      <c r="I12" s="17" t="s">
        <v>8</v>
      </c>
      <c r="J12" s="4">
        <v>0.0786</v>
      </c>
      <c r="K12" s="4">
        <v>0.0726</v>
      </c>
      <c r="L12" s="4">
        <v>0.0788</v>
      </c>
      <c r="M12" s="22">
        <f t="shared" si="1"/>
        <v>0.0766666666666667</v>
      </c>
      <c r="N12" s="25">
        <f>M12/0.1286</f>
        <v>0.596163815448419</v>
      </c>
    </row>
    <row r="13" spans="1:14">
      <c r="A13" s="17" t="s">
        <v>6</v>
      </c>
      <c r="B13" s="4">
        <v>0.0833</v>
      </c>
      <c r="C13" s="4">
        <v>0.0829</v>
      </c>
      <c r="D13" s="4">
        <v>0.0809</v>
      </c>
      <c r="E13" s="22">
        <f t="shared" si="0"/>
        <v>0.0823666666666667</v>
      </c>
      <c r="F13" s="23">
        <f>E13/0.1039</f>
        <v>0.792749438562721</v>
      </c>
      <c r="I13" s="17" t="s">
        <v>21</v>
      </c>
      <c r="J13" s="4">
        <v>0.0784</v>
      </c>
      <c r="K13" s="4">
        <v>0.0764</v>
      </c>
      <c r="L13" s="4">
        <v>0.0756</v>
      </c>
      <c r="M13" s="22">
        <f t="shared" si="1"/>
        <v>0.0768</v>
      </c>
      <c r="N13" s="25">
        <f>M13/0.1286</f>
        <v>0.597200622083981</v>
      </c>
    </row>
    <row r="14" spans="1:14">
      <c r="A14" s="18" t="s">
        <v>77</v>
      </c>
      <c r="B14" s="4">
        <v>0.0756</v>
      </c>
      <c r="C14" s="4">
        <v>0.0705</v>
      </c>
      <c r="D14" s="4">
        <v>0.0725</v>
      </c>
      <c r="E14" s="22">
        <f t="shared" si="0"/>
        <v>0.0728666666666667</v>
      </c>
      <c r="F14" s="23">
        <f>E14/0.0918</f>
        <v>0.793754538852578</v>
      </c>
      <c r="I14" s="13" t="s">
        <v>45</v>
      </c>
      <c r="J14" s="14">
        <v>0.0707</v>
      </c>
      <c r="K14" s="14">
        <v>0.07</v>
      </c>
      <c r="L14" s="14">
        <v>0.0692</v>
      </c>
      <c r="M14" s="22">
        <f t="shared" si="1"/>
        <v>0.0699666666666667</v>
      </c>
      <c r="N14" s="25">
        <f>M14/0.116</f>
        <v>0.60316091954023</v>
      </c>
    </row>
    <row r="15" spans="1:14">
      <c r="A15" s="18" t="s">
        <v>86</v>
      </c>
      <c r="B15" s="4">
        <v>0.0797</v>
      </c>
      <c r="C15" s="4">
        <v>0.0726</v>
      </c>
      <c r="D15" s="4">
        <v>0.0703</v>
      </c>
      <c r="E15" s="22">
        <f t="shared" si="0"/>
        <v>0.0742</v>
      </c>
      <c r="F15" s="23">
        <f>E15/0.0918</f>
        <v>0.808278867102396</v>
      </c>
      <c r="I15" s="19" t="s">
        <v>28</v>
      </c>
      <c r="J15" s="4">
        <v>0.0952</v>
      </c>
      <c r="K15" s="4">
        <v>0.0982</v>
      </c>
      <c r="L15" s="4">
        <v>0.087</v>
      </c>
      <c r="M15" s="22">
        <f t="shared" si="1"/>
        <v>0.0934666666666667</v>
      </c>
      <c r="N15" s="25">
        <f>M15/0.1516</f>
        <v>0.616534740545295</v>
      </c>
    </row>
    <row r="16" spans="1:14">
      <c r="A16" s="17" t="s">
        <v>5</v>
      </c>
      <c r="B16" s="4">
        <v>0.0854</v>
      </c>
      <c r="C16" s="4">
        <v>0.0835</v>
      </c>
      <c r="D16" s="4">
        <v>0.0842</v>
      </c>
      <c r="E16" s="22">
        <f t="shared" si="0"/>
        <v>0.0843666666666667</v>
      </c>
      <c r="F16" s="23">
        <f>E16/0.1039</f>
        <v>0.81199871671479</v>
      </c>
      <c r="I16" s="17" t="s">
        <v>12</v>
      </c>
      <c r="J16" s="4">
        <v>0.0738</v>
      </c>
      <c r="K16" s="4">
        <v>0.0842</v>
      </c>
      <c r="L16" s="4">
        <v>0.0829</v>
      </c>
      <c r="M16" s="22">
        <f t="shared" si="1"/>
        <v>0.0803</v>
      </c>
      <c r="N16" s="25">
        <f>M16/0.1286</f>
        <v>0.624416796267496</v>
      </c>
    </row>
    <row r="17" spans="1:14">
      <c r="A17" s="15" t="s">
        <v>62</v>
      </c>
      <c r="B17" s="16">
        <v>0.0862</v>
      </c>
      <c r="C17" s="16">
        <v>0.0712</v>
      </c>
      <c r="D17" s="16">
        <v>0.067</v>
      </c>
      <c r="E17" s="22">
        <f t="shared" si="0"/>
        <v>0.0748</v>
      </c>
      <c r="F17" s="23">
        <f>E17/0.0918</f>
        <v>0.814814814814815</v>
      </c>
      <c r="I17" s="13" t="s">
        <v>53</v>
      </c>
      <c r="J17" s="14">
        <v>0.0733</v>
      </c>
      <c r="K17" s="14">
        <v>0.074</v>
      </c>
      <c r="L17" s="14">
        <v>0.0725</v>
      </c>
      <c r="M17" s="22">
        <f t="shared" si="1"/>
        <v>0.0732666666666667</v>
      </c>
      <c r="N17" s="25">
        <f>M17/0.116</f>
        <v>0.631609195402299</v>
      </c>
    </row>
    <row r="18" spans="1:14">
      <c r="A18" s="18" t="s">
        <v>81</v>
      </c>
      <c r="B18" s="4">
        <v>0.0742</v>
      </c>
      <c r="C18" s="4">
        <v>0.0785</v>
      </c>
      <c r="D18" s="4">
        <v>0.0735</v>
      </c>
      <c r="E18" s="22">
        <f t="shared" si="0"/>
        <v>0.0754</v>
      </c>
      <c r="F18" s="23">
        <f>E18/0.0918</f>
        <v>0.821350762527233</v>
      </c>
      <c r="I18" s="18" t="s">
        <v>76</v>
      </c>
      <c r="J18" s="4">
        <v>0.0685</v>
      </c>
      <c r="K18" s="4">
        <v>0.0691</v>
      </c>
      <c r="L18" s="6">
        <v>0.0681</v>
      </c>
      <c r="M18" s="22">
        <f t="shared" si="1"/>
        <v>0.0685666666666667</v>
      </c>
      <c r="N18" s="25">
        <f>M18/0.1079</f>
        <v>0.635464936669756</v>
      </c>
    </row>
    <row r="19" spans="1:14">
      <c r="A19" s="17" t="s">
        <v>15</v>
      </c>
      <c r="B19" s="4">
        <v>0.0948</v>
      </c>
      <c r="C19" s="4">
        <v>0.0912</v>
      </c>
      <c r="D19" s="4">
        <v>0.097</v>
      </c>
      <c r="E19" s="22">
        <f t="shared" si="0"/>
        <v>0.0943333333333333</v>
      </c>
      <c r="F19" s="23">
        <f>E19/0.1039</f>
        <v>0.907924286172602</v>
      </c>
      <c r="I19" s="17" t="s">
        <v>6</v>
      </c>
      <c r="J19" s="4">
        <v>0.0833</v>
      </c>
      <c r="K19" s="4">
        <v>0.0829</v>
      </c>
      <c r="L19" s="4">
        <v>0.0809</v>
      </c>
      <c r="M19" s="22">
        <f t="shared" si="1"/>
        <v>0.0823666666666667</v>
      </c>
      <c r="N19" s="25">
        <f>M19/0.1286</f>
        <v>0.640487299118714</v>
      </c>
    </row>
    <row r="20" spans="1:14">
      <c r="A20" s="17" t="s">
        <v>3</v>
      </c>
      <c r="B20" s="4">
        <v>0.0927</v>
      </c>
      <c r="C20" s="4">
        <v>0.099</v>
      </c>
      <c r="D20" s="4">
        <v>0.1009</v>
      </c>
      <c r="E20" s="22">
        <f t="shared" si="0"/>
        <v>0.0975333333333333</v>
      </c>
      <c r="F20" s="23">
        <f>E20/0.1039</f>
        <v>0.938723131215913</v>
      </c>
      <c r="I20" s="19" t="s">
        <v>27</v>
      </c>
      <c r="J20" s="4">
        <v>0.0911</v>
      </c>
      <c r="K20" s="4">
        <v>0.1136</v>
      </c>
      <c r="L20" s="4">
        <v>0.0921</v>
      </c>
      <c r="M20" s="22">
        <f t="shared" si="1"/>
        <v>0.0989333333333333</v>
      </c>
      <c r="N20" s="25">
        <f>M20/0.1516</f>
        <v>0.65259454705365</v>
      </c>
    </row>
    <row r="21" spans="1:14">
      <c r="A21" s="19" t="s">
        <v>26</v>
      </c>
      <c r="B21" s="4">
        <v>0.0809</v>
      </c>
      <c r="C21" s="4">
        <v>0.0838</v>
      </c>
      <c r="D21" s="4">
        <v>0.0844</v>
      </c>
      <c r="E21" s="22">
        <f t="shared" si="0"/>
        <v>0.0830333333333333</v>
      </c>
      <c r="F21" s="23">
        <f>E21/0.0883</f>
        <v>0.940354850887127</v>
      </c>
      <c r="I21" s="17" t="s">
        <v>5</v>
      </c>
      <c r="J21" s="4">
        <v>0.0854</v>
      </c>
      <c r="K21" s="4">
        <v>0.0835</v>
      </c>
      <c r="L21" s="4">
        <v>0.0842</v>
      </c>
      <c r="M21" s="22">
        <f t="shared" si="1"/>
        <v>0.0843666666666667</v>
      </c>
      <c r="N21" s="25">
        <f>M21/0.1286</f>
        <v>0.656039398652151</v>
      </c>
    </row>
    <row r="22" spans="1:14">
      <c r="A22" s="17" t="s">
        <v>9</v>
      </c>
      <c r="B22" s="4">
        <v>0.0714</v>
      </c>
      <c r="C22" s="4">
        <v>0.1081</v>
      </c>
      <c r="D22" s="4">
        <v>0.1175</v>
      </c>
      <c r="E22" s="22">
        <f t="shared" si="0"/>
        <v>0.099</v>
      </c>
      <c r="F22" s="23">
        <f>E22/0.1039</f>
        <v>0.95283926852743</v>
      </c>
      <c r="I22" s="18" t="s">
        <v>78</v>
      </c>
      <c r="J22" s="4">
        <v>0.0721</v>
      </c>
      <c r="K22" s="4">
        <v>0.0715</v>
      </c>
      <c r="L22" s="4">
        <v>0.0715</v>
      </c>
      <c r="M22" s="22">
        <f t="shared" si="1"/>
        <v>0.0717</v>
      </c>
      <c r="N22" s="25">
        <f>M22/0.1079</f>
        <v>0.664504170528267</v>
      </c>
    </row>
    <row r="23" spans="1:14">
      <c r="A23" s="19" t="s">
        <v>32</v>
      </c>
      <c r="B23" s="4">
        <v>0.085</v>
      </c>
      <c r="C23" s="4">
        <v>0.0823</v>
      </c>
      <c r="D23" s="4">
        <v>0.0887</v>
      </c>
      <c r="E23" s="22">
        <f t="shared" si="0"/>
        <v>0.0853333333333333</v>
      </c>
      <c r="F23" s="23">
        <f>E23/0.0883</f>
        <v>0.96640241600604</v>
      </c>
      <c r="I23" s="15" t="s">
        <v>55</v>
      </c>
      <c r="J23" s="16">
        <v>0.0874</v>
      </c>
      <c r="K23" s="16">
        <v>0.0961</v>
      </c>
      <c r="L23" s="16">
        <v>0.0831</v>
      </c>
      <c r="M23" s="22">
        <f t="shared" si="1"/>
        <v>0.0888666666666667</v>
      </c>
      <c r="N23" s="25">
        <f>M23/0.132</f>
        <v>0.673232323232323</v>
      </c>
    </row>
    <row r="24" spans="1:14">
      <c r="A24" s="15" t="s">
        <v>55</v>
      </c>
      <c r="B24" s="16">
        <v>0.0874</v>
      </c>
      <c r="C24" s="16">
        <v>0.0961</v>
      </c>
      <c r="D24" s="16">
        <v>0.0831</v>
      </c>
      <c r="E24" s="22">
        <f t="shared" si="0"/>
        <v>0.0888666666666667</v>
      </c>
      <c r="F24" s="23">
        <f>E24/0.0918</f>
        <v>0.968046477850399</v>
      </c>
      <c r="I24" s="18" t="s">
        <v>77</v>
      </c>
      <c r="J24" s="4">
        <v>0.0756</v>
      </c>
      <c r="K24" s="4">
        <v>0.0705</v>
      </c>
      <c r="L24" s="4">
        <v>0.0725</v>
      </c>
      <c r="M24" s="22">
        <f t="shared" si="1"/>
        <v>0.0728666666666667</v>
      </c>
      <c r="N24" s="25">
        <f>M24/0.1079</f>
        <v>0.675316651220266</v>
      </c>
    </row>
    <row r="25" spans="1:14">
      <c r="A25" s="20" t="s">
        <v>89</v>
      </c>
      <c r="B25" s="6">
        <v>0.0746</v>
      </c>
      <c r="C25" s="6">
        <v>0.0739</v>
      </c>
      <c r="D25" s="6">
        <v>0.0726</v>
      </c>
      <c r="E25" s="22">
        <f t="shared" si="0"/>
        <v>0.0737</v>
      </c>
      <c r="F25" s="23">
        <f>E25/0.0756</f>
        <v>0.974867724867725</v>
      </c>
      <c r="I25" s="19" t="s">
        <v>37</v>
      </c>
      <c r="J25" s="4">
        <v>0.0997</v>
      </c>
      <c r="K25" s="4">
        <v>0.0946</v>
      </c>
      <c r="L25" s="4">
        <v>0.1169</v>
      </c>
      <c r="M25" s="22">
        <f t="shared" si="1"/>
        <v>0.103733333333333</v>
      </c>
      <c r="N25" s="25">
        <f>M25/0.1516</f>
        <v>0.684256816182938</v>
      </c>
    </row>
    <row r="26" spans="1:14">
      <c r="A26" s="19" t="s">
        <v>33</v>
      </c>
      <c r="B26" s="6">
        <v>0.1361</v>
      </c>
      <c r="C26" s="6">
        <v>0.1261</v>
      </c>
      <c r="E26" s="22">
        <f t="shared" si="0"/>
        <v>0.0874</v>
      </c>
      <c r="F26" s="23">
        <f>E26/0.0883</f>
        <v>0.989807474518686</v>
      </c>
      <c r="I26" s="18" t="s">
        <v>86</v>
      </c>
      <c r="J26" s="4">
        <v>0.0797</v>
      </c>
      <c r="K26" s="4">
        <v>0.0726</v>
      </c>
      <c r="L26" s="4">
        <v>0.0703</v>
      </c>
      <c r="M26" s="22">
        <f t="shared" si="1"/>
        <v>0.0742</v>
      </c>
      <c r="N26" s="25">
        <f>M26/0.1079</f>
        <v>0.687673772011121</v>
      </c>
    </row>
    <row r="27" spans="1:14">
      <c r="A27" s="19" t="s">
        <v>24</v>
      </c>
      <c r="B27" s="4">
        <v>0.0673</v>
      </c>
      <c r="C27" s="4">
        <v>0.0998</v>
      </c>
      <c r="D27" s="4">
        <v>0.0976</v>
      </c>
      <c r="E27" s="22">
        <f t="shared" si="0"/>
        <v>0.0882333333333333</v>
      </c>
      <c r="F27" s="23">
        <f>E27/0.0883</f>
        <v>0.999244998112495</v>
      </c>
      <c r="I27" s="18" t="s">
        <v>81</v>
      </c>
      <c r="J27" s="4">
        <v>0.0742</v>
      </c>
      <c r="K27" s="4">
        <v>0.0785</v>
      </c>
      <c r="L27" s="4">
        <v>0.0735</v>
      </c>
      <c r="M27" s="22">
        <f t="shared" si="1"/>
        <v>0.0754</v>
      </c>
      <c r="N27" s="25">
        <f>M27/0.1079</f>
        <v>0.698795180722892</v>
      </c>
    </row>
    <row r="28" spans="1:14">
      <c r="A28" s="19" t="s">
        <v>23</v>
      </c>
      <c r="B28" s="4">
        <v>0.0894</v>
      </c>
      <c r="C28" s="4">
        <v>0.0862</v>
      </c>
      <c r="D28" s="4">
        <v>0.0933</v>
      </c>
      <c r="E28" s="22">
        <f t="shared" si="0"/>
        <v>0.0896333333333333</v>
      </c>
      <c r="F28" s="23">
        <f>E28/0.0883</f>
        <v>1.01510003775009</v>
      </c>
      <c r="I28" s="19" t="s">
        <v>38</v>
      </c>
      <c r="J28" s="4">
        <v>0.1184</v>
      </c>
      <c r="K28" s="4">
        <v>0.1008</v>
      </c>
      <c r="L28" s="4">
        <v>0.1092</v>
      </c>
      <c r="M28" s="22">
        <f t="shared" si="1"/>
        <v>0.109466666666667</v>
      </c>
      <c r="N28" s="25">
        <f>M28/0.1516</f>
        <v>0.72207563764292</v>
      </c>
    </row>
    <row r="29" spans="1:14">
      <c r="A29" s="20" t="s">
        <v>87</v>
      </c>
      <c r="B29" s="6">
        <v>0.0796</v>
      </c>
      <c r="C29" s="6">
        <v>0.0793</v>
      </c>
      <c r="D29" s="6">
        <v>0.0786</v>
      </c>
      <c r="E29" s="22">
        <f t="shared" si="0"/>
        <v>0.0791666666666667</v>
      </c>
      <c r="F29" s="23">
        <f>E29/0.0756</f>
        <v>1.04717813051146</v>
      </c>
      <c r="I29" s="19" t="s">
        <v>34</v>
      </c>
      <c r="J29" s="4">
        <v>0.1136</v>
      </c>
      <c r="K29" s="4">
        <v>0.1045</v>
      </c>
      <c r="L29" s="4">
        <v>0.1107</v>
      </c>
      <c r="M29" s="22">
        <f t="shared" si="1"/>
        <v>0.1096</v>
      </c>
      <c r="N29" s="25">
        <f>M29/0.1516</f>
        <v>0.722955145118734</v>
      </c>
    </row>
    <row r="30" spans="1:14">
      <c r="A30" s="19" t="s">
        <v>28</v>
      </c>
      <c r="B30" s="4">
        <v>0.0952</v>
      </c>
      <c r="C30" s="4">
        <v>0.0982</v>
      </c>
      <c r="D30" s="4">
        <v>0.087</v>
      </c>
      <c r="E30" s="22">
        <f t="shared" si="0"/>
        <v>0.0934666666666667</v>
      </c>
      <c r="F30" s="23">
        <f>E30/0.0883</f>
        <v>1.05851264628162</v>
      </c>
      <c r="I30" s="19" t="s">
        <v>36</v>
      </c>
      <c r="J30" s="4">
        <v>0.1039</v>
      </c>
      <c r="K30" s="4">
        <v>0.1054</v>
      </c>
      <c r="L30" s="4">
        <v>0.1207</v>
      </c>
      <c r="M30" s="22">
        <f t="shared" si="1"/>
        <v>0.11</v>
      </c>
      <c r="N30" s="25">
        <f>M30/0.1516</f>
        <v>0.725593667546174</v>
      </c>
    </row>
    <row r="31" spans="1:14">
      <c r="A31" s="13" t="s">
        <v>50</v>
      </c>
      <c r="B31" s="14">
        <v>0.1068</v>
      </c>
      <c r="C31" s="14">
        <v>0.1056</v>
      </c>
      <c r="D31" s="14">
        <v>0.1027</v>
      </c>
      <c r="E31" s="22">
        <f t="shared" si="0"/>
        <v>0.105033333333333</v>
      </c>
      <c r="F31" s="23">
        <f>E31/0.099</f>
        <v>1.06094276094276</v>
      </c>
      <c r="I31" s="17" t="s">
        <v>15</v>
      </c>
      <c r="J31" s="4">
        <v>0.0948</v>
      </c>
      <c r="K31" s="4">
        <v>0.0912</v>
      </c>
      <c r="L31" s="4">
        <v>0.097</v>
      </c>
      <c r="M31" s="22">
        <f t="shared" si="1"/>
        <v>0.0943333333333333</v>
      </c>
      <c r="N31" s="25">
        <f>M31/0.1286</f>
        <v>0.733540694660446</v>
      </c>
    </row>
    <row r="32" spans="1:14">
      <c r="A32" s="17" t="s">
        <v>20</v>
      </c>
      <c r="B32" s="4">
        <v>0.115</v>
      </c>
      <c r="C32" s="4">
        <v>0.1118</v>
      </c>
      <c r="D32" s="4">
        <v>0.1068</v>
      </c>
      <c r="E32" s="22">
        <f t="shared" si="0"/>
        <v>0.1112</v>
      </c>
      <c r="F32" s="23">
        <f>E32/0.1039</f>
        <v>1.07025986525505</v>
      </c>
      <c r="I32" s="15" t="s">
        <v>59</v>
      </c>
      <c r="J32" s="16">
        <v>0.0958</v>
      </c>
      <c r="K32" s="16">
        <v>0.0987</v>
      </c>
      <c r="L32" s="16">
        <v>0.1014</v>
      </c>
      <c r="M32" s="22">
        <f t="shared" si="1"/>
        <v>0.0986333333333333</v>
      </c>
      <c r="N32" s="25">
        <f>M32/0.132</f>
        <v>0.747222222222222</v>
      </c>
    </row>
    <row r="33" spans="1:14">
      <c r="A33" s="15" t="s">
        <v>59</v>
      </c>
      <c r="B33" s="16">
        <v>0.0958</v>
      </c>
      <c r="C33" s="16">
        <v>0.0987</v>
      </c>
      <c r="D33" s="16">
        <v>0.1014</v>
      </c>
      <c r="E33" s="22">
        <f t="shared" si="0"/>
        <v>0.0986333333333333</v>
      </c>
      <c r="F33" s="23">
        <f>E33/0.0918</f>
        <v>1.07443718228032</v>
      </c>
      <c r="I33" s="19" t="s">
        <v>35</v>
      </c>
      <c r="J33" s="4">
        <v>0.1168</v>
      </c>
      <c r="K33" s="4">
        <v>0.1182</v>
      </c>
      <c r="L33" s="4">
        <v>0.1067</v>
      </c>
      <c r="M33" s="22">
        <f t="shared" si="1"/>
        <v>0.1139</v>
      </c>
      <c r="N33" s="25">
        <f>M33/0.1516</f>
        <v>0.75131926121372</v>
      </c>
    </row>
    <row r="34" spans="1:14">
      <c r="A34" s="18" t="s">
        <v>85</v>
      </c>
      <c r="B34" s="4">
        <v>0.0946</v>
      </c>
      <c r="C34" s="4">
        <v>0.098</v>
      </c>
      <c r="D34" s="4">
        <v>0.1097</v>
      </c>
      <c r="E34" s="22">
        <f t="shared" si="0"/>
        <v>0.100766666666667</v>
      </c>
      <c r="F34" s="2">
        <f>E34/0.0918</f>
        <v>1.09767610748003</v>
      </c>
      <c r="I34" s="19" t="s">
        <v>42</v>
      </c>
      <c r="J34" s="4">
        <v>0.1231</v>
      </c>
      <c r="K34" s="4">
        <v>0.1171</v>
      </c>
      <c r="L34" s="4">
        <v>0.1027</v>
      </c>
      <c r="M34" s="22">
        <f t="shared" si="1"/>
        <v>0.1143</v>
      </c>
      <c r="N34" s="25">
        <f>M34/0.1516</f>
        <v>0.753957783641161</v>
      </c>
    </row>
    <row r="35" spans="1:14">
      <c r="A35" s="17" t="s">
        <v>17</v>
      </c>
      <c r="B35" s="4">
        <v>0.1145</v>
      </c>
      <c r="C35" s="4">
        <v>0.1136</v>
      </c>
      <c r="D35" s="4">
        <v>0.1151</v>
      </c>
      <c r="E35" s="22">
        <f t="shared" si="0"/>
        <v>0.1144</v>
      </c>
      <c r="F35" s="2">
        <f>E35/0.1039</f>
        <v>1.10105871029836</v>
      </c>
      <c r="I35" s="17" t="s">
        <v>3</v>
      </c>
      <c r="J35" s="4">
        <v>0.0927</v>
      </c>
      <c r="K35" s="4">
        <v>0.099</v>
      </c>
      <c r="L35" s="4">
        <v>0.1009</v>
      </c>
      <c r="M35" s="22">
        <f t="shared" si="1"/>
        <v>0.0975333333333333</v>
      </c>
      <c r="N35" s="25">
        <f>M35/0.1286</f>
        <v>0.758424053913945</v>
      </c>
    </row>
    <row r="36" spans="1:14">
      <c r="A36" s="13" t="s">
        <v>49</v>
      </c>
      <c r="B36" s="14">
        <v>0.1082</v>
      </c>
      <c r="C36" s="14">
        <v>0.1169</v>
      </c>
      <c r="D36" s="14">
        <v>0.1029</v>
      </c>
      <c r="E36" s="22">
        <f t="shared" si="0"/>
        <v>0.109333333333333</v>
      </c>
      <c r="F36" s="2">
        <f>E36/0.099</f>
        <v>1.1043771043771</v>
      </c>
      <c r="I36" s="19" t="s">
        <v>39</v>
      </c>
      <c r="J36" s="6">
        <v>0.128</v>
      </c>
      <c r="K36" s="6">
        <v>0.1072</v>
      </c>
      <c r="L36" s="6">
        <v>0.1131</v>
      </c>
      <c r="M36" s="22">
        <f t="shared" si="1"/>
        <v>0.1161</v>
      </c>
      <c r="N36" s="25">
        <f>M36/0.1516</f>
        <v>0.765831134564644</v>
      </c>
    </row>
    <row r="37" spans="1:14">
      <c r="A37" s="17" t="s">
        <v>19</v>
      </c>
      <c r="B37" s="4">
        <v>0.1169</v>
      </c>
      <c r="C37" s="4">
        <v>0.1184</v>
      </c>
      <c r="D37" s="4">
        <v>0.1136</v>
      </c>
      <c r="E37" s="22">
        <f t="shared" si="0"/>
        <v>0.1163</v>
      </c>
      <c r="F37" s="2">
        <f>E37/0.1039</f>
        <v>1.11934552454283</v>
      </c>
      <c r="I37" s="17" t="s">
        <v>9</v>
      </c>
      <c r="J37" s="4">
        <v>0.0714</v>
      </c>
      <c r="K37" s="4">
        <v>0.1081</v>
      </c>
      <c r="L37" s="4">
        <v>0.1175</v>
      </c>
      <c r="M37" s="22">
        <f t="shared" si="1"/>
        <v>0.099</v>
      </c>
      <c r="N37" s="25">
        <f>M37/0.1286</f>
        <v>0.769828926905132</v>
      </c>
    </row>
    <row r="38" spans="1:14">
      <c r="A38" s="19" t="s">
        <v>27</v>
      </c>
      <c r="B38" s="4">
        <v>0.0911</v>
      </c>
      <c r="C38" s="4">
        <v>0.1136</v>
      </c>
      <c r="D38" s="4">
        <v>0.0921</v>
      </c>
      <c r="E38" s="22">
        <f t="shared" si="0"/>
        <v>0.0989333333333333</v>
      </c>
      <c r="F38" s="2">
        <f>E38/0.0883</f>
        <v>1.120422801057</v>
      </c>
      <c r="I38" s="19" t="s">
        <v>25</v>
      </c>
      <c r="J38" s="4">
        <v>0.1199</v>
      </c>
      <c r="K38" s="4">
        <v>0.1241</v>
      </c>
      <c r="L38" s="4">
        <v>0.1107</v>
      </c>
      <c r="M38" s="22">
        <f t="shared" si="1"/>
        <v>0.118233333333333</v>
      </c>
      <c r="N38" s="25">
        <f>M38/0.1516</f>
        <v>0.77990325417766</v>
      </c>
    </row>
    <row r="39" spans="1:14">
      <c r="A39" s="13" t="s">
        <v>52</v>
      </c>
      <c r="B39" s="14">
        <v>0.114</v>
      </c>
      <c r="C39" s="14">
        <v>0.1138</v>
      </c>
      <c r="D39" s="14">
        <v>0.1059</v>
      </c>
      <c r="E39" s="22">
        <f t="shared" si="0"/>
        <v>0.111233333333333</v>
      </c>
      <c r="F39" s="2">
        <f>E39/0.099</f>
        <v>1.12356902356902</v>
      </c>
      <c r="I39" s="19" t="s">
        <v>29</v>
      </c>
      <c r="J39" s="4">
        <v>0.1161</v>
      </c>
      <c r="K39" s="4">
        <v>0.1293</v>
      </c>
      <c r="L39" s="4">
        <v>0.1384</v>
      </c>
      <c r="M39" s="22">
        <f t="shared" si="1"/>
        <v>0.127933333333333</v>
      </c>
      <c r="N39" s="25">
        <f>M39/0.1516</f>
        <v>0.843887423043096</v>
      </c>
    </row>
    <row r="40" spans="1:14">
      <c r="A40" s="17" t="s">
        <v>18</v>
      </c>
      <c r="B40" s="4">
        <v>0.1196</v>
      </c>
      <c r="C40" s="4">
        <v>0.1158</v>
      </c>
      <c r="D40" s="4">
        <v>0.1196</v>
      </c>
      <c r="E40" s="22">
        <f t="shared" si="0"/>
        <v>0.118333333333333</v>
      </c>
      <c r="F40" s="2">
        <f>E40/0.1039</f>
        <v>1.13891562399743</v>
      </c>
      <c r="I40" s="17" t="s">
        <v>20</v>
      </c>
      <c r="J40" s="4">
        <v>0.115</v>
      </c>
      <c r="K40" s="4">
        <v>0.1118</v>
      </c>
      <c r="L40" s="4">
        <v>0.1068</v>
      </c>
      <c r="M40" s="22">
        <f t="shared" si="1"/>
        <v>0.1112</v>
      </c>
      <c r="N40" s="25">
        <f>M40/0.1286</f>
        <v>0.864696734059098</v>
      </c>
    </row>
    <row r="41" spans="1:14">
      <c r="A41" s="21" t="s">
        <v>90</v>
      </c>
      <c r="B41" s="6">
        <v>0.0884</v>
      </c>
      <c r="C41" s="6">
        <v>0.0868</v>
      </c>
      <c r="D41" s="6">
        <v>0.0836</v>
      </c>
      <c r="E41" s="22">
        <f t="shared" si="0"/>
        <v>0.0862666666666667</v>
      </c>
      <c r="F41" s="2">
        <f>E41/0.0756</f>
        <v>1.14109347442681</v>
      </c>
      <c r="I41" s="20" t="s">
        <v>89</v>
      </c>
      <c r="J41" s="6">
        <v>0.0746</v>
      </c>
      <c r="K41" s="6">
        <v>0.0739</v>
      </c>
      <c r="L41" s="6">
        <v>0.0726</v>
      </c>
      <c r="M41" s="22">
        <f t="shared" si="1"/>
        <v>0.0737</v>
      </c>
      <c r="N41" s="25">
        <f>M41/0.0834</f>
        <v>0.883693045563549</v>
      </c>
    </row>
    <row r="42" spans="1:14">
      <c r="A42" s="17" t="s">
        <v>13</v>
      </c>
      <c r="B42" s="4">
        <v>0.1265</v>
      </c>
      <c r="C42" s="4">
        <v>0.1204</v>
      </c>
      <c r="D42" s="4">
        <v>0.11</v>
      </c>
      <c r="E42" s="22">
        <f t="shared" si="0"/>
        <v>0.118966666666667</v>
      </c>
      <c r="F42" s="2">
        <f>E42/0.1039</f>
        <v>1.14501122874559</v>
      </c>
      <c r="I42" s="17" t="s">
        <v>17</v>
      </c>
      <c r="J42" s="4">
        <v>0.1145</v>
      </c>
      <c r="K42" s="4">
        <v>0.1136</v>
      </c>
      <c r="L42" s="4">
        <v>0.1151</v>
      </c>
      <c r="M42" s="22">
        <f t="shared" si="1"/>
        <v>0.1144</v>
      </c>
      <c r="N42" s="25">
        <f>M42/0.1286</f>
        <v>0.889580093312597</v>
      </c>
    </row>
    <row r="43" spans="1:14">
      <c r="A43" s="18" t="s">
        <v>72</v>
      </c>
      <c r="B43" s="4">
        <v>0.1037</v>
      </c>
      <c r="C43" s="4">
        <v>0.1154</v>
      </c>
      <c r="D43" s="4">
        <v>0.1012</v>
      </c>
      <c r="E43" s="22">
        <f t="shared" si="0"/>
        <v>0.106766666666667</v>
      </c>
      <c r="F43" s="2">
        <f>E43/0.0918</f>
        <v>1.16303558460421</v>
      </c>
      <c r="I43" s="17" t="s">
        <v>19</v>
      </c>
      <c r="J43" s="4">
        <v>0.1169</v>
      </c>
      <c r="K43" s="4">
        <v>0.1184</v>
      </c>
      <c r="L43" s="4">
        <v>0.1136</v>
      </c>
      <c r="M43" s="22">
        <f t="shared" si="1"/>
        <v>0.1163</v>
      </c>
      <c r="N43" s="25">
        <f>M43/0.1286</f>
        <v>0.904354587869362</v>
      </c>
    </row>
    <row r="44" spans="1:14">
      <c r="A44" s="13" t="s">
        <v>54</v>
      </c>
      <c r="B44" s="14">
        <v>0.1126</v>
      </c>
      <c r="C44" s="14">
        <v>0.1188</v>
      </c>
      <c r="D44" s="14">
        <v>0.1144</v>
      </c>
      <c r="E44" s="22">
        <f t="shared" si="0"/>
        <v>0.115266666666667</v>
      </c>
      <c r="F44" s="2">
        <f>E44/0.099</f>
        <v>1.16430976430976</v>
      </c>
      <c r="I44" s="13" t="s">
        <v>50</v>
      </c>
      <c r="J44" s="14">
        <v>0.1068</v>
      </c>
      <c r="K44" s="14">
        <v>0.1056</v>
      </c>
      <c r="L44" s="14">
        <v>0.1027</v>
      </c>
      <c r="M44" s="22">
        <f t="shared" si="1"/>
        <v>0.105033333333333</v>
      </c>
      <c r="N44" s="25">
        <f>M44/0.116</f>
        <v>0.905459770114942</v>
      </c>
    </row>
    <row r="45" spans="1:14">
      <c r="A45" s="19" t="s">
        <v>37</v>
      </c>
      <c r="B45" s="4">
        <v>0.0997</v>
      </c>
      <c r="C45" s="4">
        <v>0.0946</v>
      </c>
      <c r="D45" s="4">
        <v>0.1169</v>
      </c>
      <c r="E45" s="22">
        <f t="shared" si="0"/>
        <v>0.103733333333333</v>
      </c>
      <c r="F45" s="2">
        <f>E45/0.0883</f>
        <v>1.17478293695734</v>
      </c>
      <c r="I45" s="17" t="s">
        <v>18</v>
      </c>
      <c r="J45" s="4">
        <v>0.1196</v>
      </c>
      <c r="K45" s="4">
        <v>0.1158</v>
      </c>
      <c r="L45" s="4">
        <v>0.1196</v>
      </c>
      <c r="M45" s="22">
        <f t="shared" si="1"/>
        <v>0.118333333333333</v>
      </c>
      <c r="N45" s="25">
        <f>M45/0.1286</f>
        <v>0.92016588906169</v>
      </c>
    </row>
    <row r="46" spans="1:14">
      <c r="A46" s="17" t="s">
        <v>7</v>
      </c>
      <c r="B46" s="4">
        <v>0.1223</v>
      </c>
      <c r="C46" s="4">
        <v>0.1242</v>
      </c>
      <c r="D46" s="4">
        <v>0.1202</v>
      </c>
      <c r="E46" s="22">
        <f t="shared" si="0"/>
        <v>0.122233333333333</v>
      </c>
      <c r="F46" s="2">
        <f>E46/0.1039</f>
        <v>1.17645171639397</v>
      </c>
      <c r="I46" s="17" t="s">
        <v>13</v>
      </c>
      <c r="J46" s="4">
        <v>0.1265</v>
      </c>
      <c r="K46" s="4">
        <v>0.1204</v>
      </c>
      <c r="L46" s="4">
        <v>0.11</v>
      </c>
      <c r="M46" s="22">
        <f t="shared" si="1"/>
        <v>0.118966666666667</v>
      </c>
      <c r="N46" s="25">
        <f>M46/0.1286</f>
        <v>0.925090720580612</v>
      </c>
    </row>
    <row r="47" spans="1:14">
      <c r="A47" s="17" t="s">
        <v>16</v>
      </c>
      <c r="B47" s="4">
        <v>0.1175</v>
      </c>
      <c r="C47" s="4">
        <v>0.1248</v>
      </c>
      <c r="D47" s="4">
        <v>0.1266</v>
      </c>
      <c r="E47" s="22">
        <f t="shared" si="0"/>
        <v>0.122966666666667</v>
      </c>
      <c r="F47" s="2">
        <f>E47/0.1039</f>
        <v>1.18350978504973</v>
      </c>
      <c r="I47" s="19" t="s">
        <v>40</v>
      </c>
      <c r="J47" s="6">
        <v>0.1391</v>
      </c>
      <c r="K47" s="6">
        <v>0.1401</v>
      </c>
      <c r="L47" s="6">
        <v>0.142</v>
      </c>
      <c r="M47" s="22">
        <f t="shared" si="1"/>
        <v>0.1404</v>
      </c>
      <c r="N47" s="25">
        <f>M47/0.1516</f>
        <v>0.926121372031662</v>
      </c>
    </row>
    <row r="48" spans="1:14">
      <c r="A48" s="18" t="s">
        <v>79</v>
      </c>
      <c r="B48" s="4">
        <v>0.1108</v>
      </c>
      <c r="C48" s="4">
        <v>0.1072</v>
      </c>
      <c r="D48" s="4">
        <v>0.1087</v>
      </c>
      <c r="E48" s="22">
        <f t="shared" si="0"/>
        <v>0.1089</v>
      </c>
      <c r="F48" s="2">
        <f>E48/0.0918</f>
        <v>1.18627450980392</v>
      </c>
      <c r="I48" s="18" t="s">
        <v>85</v>
      </c>
      <c r="J48" s="4">
        <v>0.0946</v>
      </c>
      <c r="K48" s="4">
        <v>0.098</v>
      </c>
      <c r="L48" s="4">
        <v>0.1097</v>
      </c>
      <c r="M48" s="22">
        <f t="shared" si="1"/>
        <v>0.100766666666667</v>
      </c>
      <c r="N48" s="25">
        <f>M48/0.1079</f>
        <v>0.933889403768922</v>
      </c>
    </row>
    <row r="49" spans="1:14">
      <c r="A49" s="13" t="s">
        <v>43</v>
      </c>
      <c r="B49" s="14">
        <v>0.1199</v>
      </c>
      <c r="C49" s="14">
        <v>0.1187</v>
      </c>
      <c r="D49" s="14">
        <v>0.116</v>
      </c>
      <c r="E49" s="22">
        <f t="shared" si="0"/>
        <v>0.1182</v>
      </c>
      <c r="F49" s="2">
        <f>E49/0.099</f>
        <v>1.19393939393939</v>
      </c>
      <c r="I49" s="13" t="s">
        <v>49</v>
      </c>
      <c r="J49" s="14">
        <v>0.1082</v>
      </c>
      <c r="K49" s="14">
        <v>0.1169</v>
      </c>
      <c r="L49" s="14">
        <v>0.1029</v>
      </c>
      <c r="M49" s="22">
        <f t="shared" si="1"/>
        <v>0.109333333333333</v>
      </c>
      <c r="N49" s="25">
        <f>M49/0.116</f>
        <v>0.942528735632184</v>
      </c>
    </row>
    <row r="50" spans="1:14">
      <c r="A50" s="18" t="s">
        <v>84</v>
      </c>
      <c r="B50" s="6">
        <v>0.1113</v>
      </c>
      <c r="C50" s="6">
        <v>0.1144</v>
      </c>
      <c r="D50" s="6">
        <v>0.1043</v>
      </c>
      <c r="E50" s="22">
        <f t="shared" si="0"/>
        <v>0.11</v>
      </c>
      <c r="F50" s="2">
        <f>E50/0.0918</f>
        <v>1.19825708061002</v>
      </c>
      <c r="I50" s="20" t="s">
        <v>87</v>
      </c>
      <c r="J50" s="6">
        <v>0.0796</v>
      </c>
      <c r="K50" s="6">
        <v>0.0793</v>
      </c>
      <c r="L50" s="6">
        <v>0.0786</v>
      </c>
      <c r="M50" s="22">
        <f t="shared" si="1"/>
        <v>0.0791666666666667</v>
      </c>
      <c r="N50" s="25">
        <f>M50/0.0834</f>
        <v>0.949240607513989</v>
      </c>
    </row>
    <row r="51" spans="1:14">
      <c r="A51" s="20" t="s">
        <v>88</v>
      </c>
      <c r="B51" s="6">
        <v>0.089</v>
      </c>
      <c r="C51" s="6">
        <v>0.0941</v>
      </c>
      <c r="D51" s="6">
        <v>0.0902</v>
      </c>
      <c r="E51" s="22">
        <f t="shared" si="0"/>
        <v>0.0911</v>
      </c>
      <c r="F51" s="2">
        <f>E51/0.0756</f>
        <v>1.20502645502646</v>
      </c>
      <c r="I51" s="17" t="s">
        <v>7</v>
      </c>
      <c r="J51" s="4">
        <v>0.1223</v>
      </c>
      <c r="K51" s="4">
        <v>0.1242</v>
      </c>
      <c r="L51" s="4">
        <v>0.1202</v>
      </c>
      <c r="M51" s="22">
        <f t="shared" si="1"/>
        <v>0.122233333333333</v>
      </c>
      <c r="N51" s="25">
        <f>M51/0.1286</f>
        <v>0.950492483151892</v>
      </c>
    </row>
    <row r="52" spans="1:14">
      <c r="A52" s="18" t="s">
        <v>73</v>
      </c>
      <c r="B52" s="4">
        <v>0.1108</v>
      </c>
      <c r="C52" s="4">
        <v>0.1074</v>
      </c>
      <c r="D52" s="4">
        <v>0.1149</v>
      </c>
      <c r="E52" s="22">
        <f t="shared" si="0"/>
        <v>0.111033333333333</v>
      </c>
      <c r="F52" s="2">
        <f>E52/0.0918</f>
        <v>1.20951343500363</v>
      </c>
      <c r="I52" s="19" t="s">
        <v>41</v>
      </c>
      <c r="J52" s="6">
        <v>0.1302</v>
      </c>
      <c r="K52" s="6">
        <v>0.1455</v>
      </c>
      <c r="L52" s="6">
        <v>0.1567</v>
      </c>
      <c r="M52" s="22">
        <f t="shared" si="1"/>
        <v>0.144133333333333</v>
      </c>
      <c r="N52" s="25">
        <f>M52/0.1516</f>
        <v>0.950747581354441</v>
      </c>
    </row>
    <row r="53" spans="1:14">
      <c r="A53" s="13" t="s">
        <v>44</v>
      </c>
      <c r="B53" s="14">
        <v>0.1245</v>
      </c>
      <c r="C53" s="14">
        <v>0.1226</v>
      </c>
      <c r="D53" s="14">
        <v>0.1206</v>
      </c>
      <c r="E53" s="22">
        <f t="shared" si="0"/>
        <v>0.122566666666667</v>
      </c>
      <c r="F53" s="2">
        <f>E53/0.099</f>
        <v>1.23804713804714</v>
      </c>
      <c r="I53" s="17" t="s">
        <v>16</v>
      </c>
      <c r="J53" s="4">
        <v>0.1175</v>
      </c>
      <c r="K53" s="4">
        <v>0.1248</v>
      </c>
      <c r="L53" s="4">
        <v>0.1266</v>
      </c>
      <c r="M53" s="22">
        <f t="shared" si="1"/>
        <v>0.122966666666667</v>
      </c>
      <c r="N53" s="25">
        <f>M53/0.1286</f>
        <v>0.956194919647486</v>
      </c>
    </row>
    <row r="54" spans="1:14">
      <c r="A54" s="18" t="s">
        <v>83</v>
      </c>
      <c r="B54" s="4">
        <v>0.1131</v>
      </c>
      <c r="C54" s="4">
        <v>0.1188</v>
      </c>
      <c r="D54" s="4">
        <v>0.1092</v>
      </c>
      <c r="E54" s="22">
        <f t="shared" si="0"/>
        <v>0.1137</v>
      </c>
      <c r="F54" s="2">
        <f>E54/0.0918</f>
        <v>1.23856209150327</v>
      </c>
      <c r="I54" s="13" t="s">
        <v>52</v>
      </c>
      <c r="J54" s="14">
        <v>0.114</v>
      </c>
      <c r="K54" s="14">
        <v>0.1138</v>
      </c>
      <c r="L54" s="14">
        <v>0.1059</v>
      </c>
      <c r="M54" s="22">
        <f t="shared" si="1"/>
        <v>0.111233333333333</v>
      </c>
      <c r="N54" s="25">
        <f>M54/0.116</f>
        <v>0.958908045977012</v>
      </c>
    </row>
    <row r="55" spans="1:14">
      <c r="A55" s="19" t="s">
        <v>38</v>
      </c>
      <c r="B55" s="4">
        <v>0.1184</v>
      </c>
      <c r="C55" s="4">
        <v>0.1008</v>
      </c>
      <c r="D55" s="4">
        <v>0.1092</v>
      </c>
      <c r="E55" s="22">
        <f t="shared" si="0"/>
        <v>0.109466666666667</v>
      </c>
      <c r="F55" s="2">
        <f>E55/0.0883</f>
        <v>1.23971309928275</v>
      </c>
      <c r="I55" s="18" t="s">
        <v>72</v>
      </c>
      <c r="J55" s="4">
        <v>0.1037</v>
      </c>
      <c r="K55" s="4">
        <v>0.1154</v>
      </c>
      <c r="L55" s="4">
        <v>0.1012</v>
      </c>
      <c r="M55" s="22">
        <f t="shared" si="1"/>
        <v>0.106766666666667</v>
      </c>
      <c r="N55" s="25">
        <f>M55/0.1079</f>
        <v>0.989496447327773</v>
      </c>
    </row>
    <row r="56" spans="1:14">
      <c r="A56" s="17" t="s">
        <v>22</v>
      </c>
      <c r="B56" s="4">
        <v>0.1284</v>
      </c>
      <c r="C56" s="4">
        <v>0.1358</v>
      </c>
      <c r="D56" s="4">
        <v>0.1226</v>
      </c>
      <c r="E56" s="22">
        <f t="shared" si="0"/>
        <v>0.128933333333333</v>
      </c>
      <c r="F56" s="2">
        <f>E56/0.1039</f>
        <v>1.2409367982034</v>
      </c>
      <c r="I56" s="13" t="s">
        <v>54</v>
      </c>
      <c r="J56" s="14">
        <v>0.1126</v>
      </c>
      <c r="K56" s="14">
        <v>0.1188</v>
      </c>
      <c r="L56" s="14">
        <v>0.1144</v>
      </c>
      <c r="M56" s="22">
        <f t="shared" si="1"/>
        <v>0.115266666666667</v>
      </c>
      <c r="N56" s="25">
        <f>M56/0.116</f>
        <v>0.99367816091954</v>
      </c>
    </row>
    <row r="57" spans="1:14">
      <c r="A57" s="19" t="s">
        <v>34</v>
      </c>
      <c r="B57" s="4">
        <v>0.1136</v>
      </c>
      <c r="C57" s="4">
        <v>0.1045</v>
      </c>
      <c r="D57" s="4">
        <v>0.1107</v>
      </c>
      <c r="E57" s="22">
        <f t="shared" si="0"/>
        <v>0.1096</v>
      </c>
      <c r="F57" s="2">
        <f>E57/0.0883</f>
        <v>1.24122310305776</v>
      </c>
      <c r="I57" s="17" t="s">
        <v>22</v>
      </c>
      <c r="J57" s="4">
        <v>0.1284</v>
      </c>
      <c r="K57" s="4">
        <v>0.1358</v>
      </c>
      <c r="L57" s="4">
        <v>0.1226</v>
      </c>
      <c r="M57" s="22">
        <f t="shared" si="1"/>
        <v>0.128933333333333</v>
      </c>
      <c r="N57" s="25">
        <f>M57/0.1286</f>
        <v>1.00259201658891</v>
      </c>
    </row>
    <row r="58" spans="1:14">
      <c r="A58" s="17" t="s">
        <v>10</v>
      </c>
      <c r="B58" s="4">
        <v>0.121</v>
      </c>
      <c r="C58" s="4">
        <v>0.1282</v>
      </c>
      <c r="D58" s="4">
        <v>0.1384</v>
      </c>
      <c r="E58" s="22">
        <f t="shared" si="0"/>
        <v>0.1292</v>
      </c>
      <c r="F58" s="2">
        <f>E58/0.1039</f>
        <v>1.24350336862368</v>
      </c>
      <c r="I58" s="17" t="s">
        <v>10</v>
      </c>
      <c r="J58" s="4">
        <v>0.121</v>
      </c>
      <c r="K58" s="4">
        <v>0.1282</v>
      </c>
      <c r="L58" s="4">
        <v>0.1384</v>
      </c>
      <c r="M58" s="22">
        <f t="shared" si="1"/>
        <v>0.1292</v>
      </c>
      <c r="N58" s="26">
        <f>M58/0.1286</f>
        <v>1.00466562986003</v>
      </c>
    </row>
    <row r="59" spans="1:14">
      <c r="A59" s="19" t="s">
        <v>36</v>
      </c>
      <c r="B59" s="4">
        <v>0.1039</v>
      </c>
      <c r="C59" s="4">
        <v>0.1054</v>
      </c>
      <c r="D59" s="4">
        <v>0.1207</v>
      </c>
      <c r="E59" s="22">
        <f t="shared" si="0"/>
        <v>0.11</v>
      </c>
      <c r="F59" s="2">
        <f>E59/0.0883</f>
        <v>1.24575311438279</v>
      </c>
      <c r="I59" s="18" t="s">
        <v>79</v>
      </c>
      <c r="J59" s="4">
        <v>0.1108</v>
      </c>
      <c r="K59" s="4">
        <v>0.1072</v>
      </c>
      <c r="L59" s="4">
        <v>0.1087</v>
      </c>
      <c r="M59" s="22">
        <f t="shared" si="1"/>
        <v>0.1089</v>
      </c>
      <c r="N59" s="25">
        <f>M59/0.1079</f>
        <v>1.00926784059314</v>
      </c>
    </row>
    <row r="60" spans="1:14">
      <c r="A60" s="13" t="s">
        <v>48</v>
      </c>
      <c r="B60" s="14">
        <v>0.12</v>
      </c>
      <c r="C60" s="14">
        <v>0.1212</v>
      </c>
      <c r="D60" s="14">
        <v>0.1291</v>
      </c>
      <c r="E60" s="22">
        <f t="shared" si="0"/>
        <v>0.123433333333333</v>
      </c>
      <c r="F60" s="2">
        <f>E60/0.099</f>
        <v>1.24680134680135</v>
      </c>
      <c r="I60" s="17" t="s">
        <v>14</v>
      </c>
      <c r="J60" s="4">
        <v>0.1443</v>
      </c>
      <c r="K60" s="4">
        <v>0.1203</v>
      </c>
      <c r="L60" s="4">
        <v>0.1268</v>
      </c>
      <c r="M60" s="22">
        <f t="shared" si="1"/>
        <v>0.130466666666667</v>
      </c>
      <c r="N60" s="25">
        <f>M60/0.1286</f>
        <v>1.01451529289787</v>
      </c>
    </row>
    <row r="61" spans="1:14">
      <c r="A61" s="18" t="s">
        <v>75</v>
      </c>
      <c r="B61" s="4">
        <v>0.1122</v>
      </c>
      <c r="C61" s="4">
        <v>0.1103</v>
      </c>
      <c r="D61" s="4">
        <v>0.1217</v>
      </c>
      <c r="E61" s="22">
        <f t="shared" si="0"/>
        <v>0.114733333333333</v>
      </c>
      <c r="F61" s="2">
        <f>E61/0.0918</f>
        <v>1.24981844589688</v>
      </c>
      <c r="I61" s="13" t="s">
        <v>43</v>
      </c>
      <c r="J61" s="14">
        <v>0.1199</v>
      </c>
      <c r="K61" s="14">
        <v>0.1187</v>
      </c>
      <c r="L61" s="14">
        <v>0.116</v>
      </c>
      <c r="M61" s="22">
        <f t="shared" si="1"/>
        <v>0.1182</v>
      </c>
      <c r="N61" s="25">
        <f>M61/0.116</f>
        <v>1.01896551724138</v>
      </c>
    </row>
    <row r="62" spans="1:14">
      <c r="A62" s="17" t="s">
        <v>14</v>
      </c>
      <c r="B62" s="4">
        <v>0.1443</v>
      </c>
      <c r="C62" s="4">
        <v>0.1203</v>
      </c>
      <c r="D62" s="4">
        <v>0.1268</v>
      </c>
      <c r="E62" s="22">
        <f t="shared" si="0"/>
        <v>0.130466666666667</v>
      </c>
      <c r="F62" s="2">
        <f>E62/0.1039</f>
        <v>1.25569457811999</v>
      </c>
      <c r="I62" s="18" t="s">
        <v>84</v>
      </c>
      <c r="J62" s="6">
        <v>0.1113</v>
      </c>
      <c r="K62" s="6">
        <v>0.1144</v>
      </c>
      <c r="L62" s="6">
        <v>0.1043</v>
      </c>
      <c r="M62" s="22">
        <f t="shared" si="1"/>
        <v>0.11</v>
      </c>
      <c r="N62" s="25">
        <f>M62/0.1079</f>
        <v>1.0194624652456</v>
      </c>
    </row>
    <row r="63" spans="1:14">
      <c r="A63" s="18" t="s">
        <v>82</v>
      </c>
      <c r="B63" s="4">
        <v>0.1208</v>
      </c>
      <c r="C63" s="4">
        <v>0.1217</v>
      </c>
      <c r="D63" s="4">
        <v>0.1076</v>
      </c>
      <c r="E63" s="22">
        <f t="shared" si="0"/>
        <v>0.1167</v>
      </c>
      <c r="F63" s="2">
        <f>E63/0.0918</f>
        <v>1.27124183006536</v>
      </c>
      <c r="I63" s="15" t="s">
        <v>68</v>
      </c>
      <c r="J63" s="14">
        <v>0.1352</v>
      </c>
      <c r="K63" s="14">
        <v>0.1329</v>
      </c>
      <c r="L63" s="14">
        <v>0.1383</v>
      </c>
      <c r="M63" s="22">
        <f t="shared" si="1"/>
        <v>0.135466666666667</v>
      </c>
      <c r="N63" s="25">
        <f>M63/0.132</f>
        <v>1.02626262626263</v>
      </c>
    </row>
    <row r="64" spans="1:14">
      <c r="A64" s="18" t="s">
        <v>74</v>
      </c>
      <c r="B64" s="4">
        <v>0.118</v>
      </c>
      <c r="C64" s="4">
        <v>0.119</v>
      </c>
      <c r="D64" s="4">
        <v>0.1145</v>
      </c>
      <c r="E64" s="22">
        <f t="shared" si="0"/>
        <v>0.117166666666667</v>
      </c>
      <c r="F64" s="2">
        <f>E64/0.0918</f>
        <v>1.2763253449528</v>
      </c>
      <c r="I64" s="18" t="s">
        <v>73</v>
      </c>
      <c r="J64" s="4">
        <v>0.1108</v>
      </c>
      <c r="K64" s="4">
        <v>0.1074</v>
      </c>
      <c r="L64" s="4">
        <v>0.1149</v>
      </c>
      <c r="M64" s="22">
        <f t="shared" si="1"/>
        <v>0.111033333333333</v>
      </c>
      <c r="N64" s="25">
        <f>M64/0.1079</f>
        <v>1.02903923385851</v>
      </c>
    </row>
    <row r="65" spans="1:14">
      <c r="A65" s="19" t="s">
        <v>35</v>
      </c>
      <c r="B65" s="4">
        <v>0.1168</v>
      </c>
      <c r="C65" s="4">
        <v>0.1182</v>
      </c>
      <c r="D65" s="4">
        <v>0.1067</v>
      </c>
      <c r="E65" s="22">
        <f t="shared" si="0"/>
        <v>0.1139</v>
      </c>
      <c r="F65" s="2">
        <f>E65/0.0883</f>
        <v>1.28992072480181</v>
      </c>
      <c r="I65" s="15" t="s">
        <v>64</v>
      </c>
      <c r="J65" s="14">
        <v>0.1263</v>
      </c>
      <c r="K65" s="14">
        <v>0.1492</v>
      </c>
      <c r="L65" s="14">
        <v>0.1331</v>
      </c>
      <c r="M65" s="22">
        <f t="shared" si="1"/>
        <v>0.1362</v>
      </c>
      <c r="N65" s="25">
        <f>M65/0.132</f>
        <v>1.03181818181818</v>
      </c>
    </row>
    <row r="66" spans="1:14">
      <c r="A66" s="19" t="s">
        <v>42</v>
      </c>
      <c r="B66" s="4">
        <v>0.1231</v>
      </c>
      <c r="C66" s="4">
        <v>0.1171</v>
      </c>
      <c r="D66" s="4">
        <v>0.1027</v>
      </c>
      <c r="E66" s="22">
        <f t="shared" ref="E66:E89" si="2">(B66+C66+D66)/3</f>
        <v>0.1143</v>
      </c>
      <c r="F66" s="2">
        <f>E66/0.0883</f>
        <v>1.29445073612684</v>
      </c>
      <c r="I66" s="21" t="s">
        <v>90</v>
      </c>
      <c r="J66" s="6">
        <v>0.0884</v>
      </c>
      <c r="K66" s="6">
        <v>0.0868</v>
      </c>
      <c r="L66" s="6">
        <v>0.0836</v>
      </c>
      <c r="M66" s="22">
        <f t="shared" ref="M66:M89" si="3">(J66+K66+L66)/3</f>
        <v>0.0862666666666667</v>
      </c>
      <c r="N66" s="25">
        <f>M66/0.0834</f>
        <v>1.0343725019984</v>
      </c>
    </row>
    <row r="67" spans="1:14">
      <c r="A67" s="13" t="s">
        <v>51</v>
      </c>
      <c r="B67" s="14">
        <v>0.1337</v>
      </c>
      <c r="C67" s="14">
        <v>0.1298</v>
      </c>
      <c r="D67" s="14">
        <v>0.1241</v>
      </c>
      <c r="E67" s="22">
        <f t="shared" si="2"/>
        <v>0.1292</v>
      </c>
      <c r="F67" s="2">
        <f>E67/0.099</f>
        <v>1.30505050505051</v>
      </c>
      <c r="I67" s="18" t="s">
        <v>83</v>
      </c>
      <c r="J67" s="4">
        <v>0.1131</v>
      </c>
      <c r="K67" s="4">
        <v>0.1188</v>
      </c>
      <c r="L67" s="4">
        <v>0.1092</v>
      </c>
      <c r="M67" s="22">
        <f t="shared" si="3"/>
        <v>0.1137</v>
      </c>
      <c r="N67" s="25">
        <f>M67/0.1079</f>
        <v>1.05375347544022</v>
      </c>
    </row>
    <row r="68" spans="1:14">
      <c r="A68" s="17" t="s">
        <v>11</v>
      </c>
      <c r="B68" s="4">
        <v>0.1327</v>
      </c>
      <c r="C68" s="4">
        <v>0.1407</v>
      </c>
      <c r="D68" s="4">
        <v>0.1351</v>
      </c>
      <c r="E68" s="22">
        <f t="shared" si="2"/>
        <v>0.136166666666667</v>
      </c>
      <c r="F68" s="2">
        <f>E68/0.1039</f>
        <v>1.31055502085338</v>
      </c>
      <c r="I68" s="13" t="s">
        <v>44</v>
      </c>
      <c r="J68" s="14">
        <v>0.1245</v>
      </c>
      <c r="K68" s="14">
        <v>0.1226</v>
      </c>
      <c r="L68" s="14">
        <v>0.1206</v>
      </c>
      <c r="M68" s="22">
        <f t="shared" si="3"/>
        <v>0.122566666666667</v>
      </c>
      <c r="N68" s="25">
        <f>M68/0.116</f>
        <v>1.0566091954023</v>
      </c>
    </row>
    <row r="69" spans="1:14">
      <c r="A69" s="19" t="s">
        <v>39</v>
      </c>
      <c r="B69" s="6">
        <v>0.128</v>
      </c>
      <c r="C69" s="6">
        <v>0.1072</v>
      </c>
      <c r="D69" s="6">
        <v>0.1131</v>
      </c>
      <c r="E69" s="22">
        <f t="shared" si="2"/>
        <v>0.1161</v>
      </c>
      <c r="F69" s="2">
        <f>E69/0.0883</f>
        <v>1.31483578708947</v>
      </c>
      <c r="I69" s="19" t="s">
        <v>31</v>
      </c>
      <c r="J69" s="4">
        <v>0.1582</v>
      </c>
      <c r="K69" s="4">
        <v>0.1533</v>
      </c>
      <c r="L69" s="4">
        <v>0.1695</v>
      </c>
      <c r="M69" s="22">
        <f t="shared" si="3"/>
        <v>0.160333333333333</v>
      </c>
      <c r="N69" s="25">
        <f>M69/0.1516</f>
        <v>1.05760773966579</v>
      </c>
    </row>
    <row r="70" spans="1:14">
      <c r="A70" s="13" t="s">
        <v>46</v>
      </c>
      <c r="B70" s="14">
        <v>0.137</v>
      </c>
      <c r="C70" s="14">
        <v>0.1243</v>
      </c>
      <c r="D70" s="14">
        <v>0.1301</v>
      </c>
      <c r="E70" s="22">
        <f t="shared" si="2"/>
        <v>0.130466666666667</v>
      </c>
      <c r="F70" s="2">
        <f>E70/0.099</f>
        <v>1.31784511784512</v>
      </c>
      <c r="I70" s="17" t="s">
        <v>11</v>
      </c>
      <c r="J70" s="4">
        <v>0.1327</v>
      </c>
      <c r="K70" s="4">
        <v>0.1407</v>
      </c>
      <c r="L70" s="4">
        <v>0.1351</v>
      </c>
      <c r="M70" s="22">
        <f t="shared" si="3"/>
        <v>0.136166666666667</v>
      </c>
      <c r="N70" s="26">
        <f>M70/0.1286</f>
        <v>1.05883877656817</v>
      </c>
    </row>
    <row r="71" spans="1:14">
      <c r="A71" s="18" t="s">
        <v>80</v>
      </c>
      <c r="B71" s="4">
        <v>0.1237</v>
      </c>
      <c r="C71" s="4">
        <v>0.1252</v>
      </c>
      <c r="D71" s="4">
        <v>0.1141</v>
      </c>
      <c r="E71" s="22">
        <f t="shared" si="2"/>
        <v>0.121</v>
      </c>
      <c r="F71" s="2">
        <f>E71/0.0918</f>
        <v>1.31808278867102</v>
      </c>
      <c r="I71" s="18" t="s">
        <v>75</v>
      </c>
      <c r="J71" s="4">
        <v>0.1122</v>
      </c>
      <c r="K71" s="4">
        <v>0.1103</v>
      </c>
      <c r="L71" s="4">
        <v>0.1217</v>
      </c>
      <c r="M71" s="22">
        <f t="shared" si="3"/>
        <v>0.114733333333333</v>
      </c>
      <c r="N71" s="25">
        <f>M71/0.1079</f>
        <v>1.06333024405314</v>
      </c>
    </row>
    <row r="72" spans="1:14">
      <c r="A72" s="19" t="s">
        <v>25</v>
      </c>
      <c r="B72" s="4">
        <v>0.1199</v>
      </c>
      <c r="C72" s="4">
        <v>0.1241</v>
      </c>
      <c r="D72" s="4">
        <v>0.1107</v>
      </c>
      <c r="E72" s="22">
        <f t="shared" si="2"/>
        <v>0.118233333333333</v>
      </c>
      <c r="F72" s="2">
        <f>E72/0.0883</f>
        <v>1.33899584748962</v>
      </c>
      <c r="I72" s="13" t="s">
        <v>48</v>
      </c>
      <c r="J72" s="14">
        <v>0.12</v>
      </c>
      <c r="K72" s="14">
        <v>0.1212</v>
      </c>
      <c r="L72" s="14">
        <v>0.1291</v>
      </c>
      <c r="M72" s="22">
        <f t="shared" si="3"/>
        <v>0.123433333333333</v>
      </c>
      <c r="N72" s="25">
        <f>M72/0.116</f>
        <v>1.06408045977011</v>
      </c>
    </row>
    <row r="73" spans="1:14">
      <c r="A73" s="13" t="s">
        <v>47</v>
      </c>
      <c r="B73" s="14">
        <v>0.1287</v>
      </c>
      <c r="C73" s="14">
        <v>0.1404</v>
      </c>
      <c r="D73" s="14">
        <v>0.1301</v>
      </c>
      <c r="E73" s="22">
        <f t="shared" si="2"/>
        <v>0.133066666666667</v>
      </c>
      <c r="F73" s="2">
        <f>E73/0.099</f>
        <v>1.34410774410774</v>
      </c>
      <c r="I73" s="15" t="s">
        <v>61</v>
      </c>
      <c r="J73" s="6">
        <v>0.1342</v>
      </c>
      <c r="K73" s="6">
        <v>0.1403</v>
      </c>
      <c r="L73" s="6">
        <v>0.1519</v>
      </c>
      <c r="M73" s="22">
        <f t="shared" si="3"/>
        <v>0.142133333333333</v>
      </c>
      <c r="N73" s="25">
        <f>M73/0.132</f>
        <v>1.07676767676768</v>
      </c>
    </row>
    <row r="74" spans="1:14">
      <c r="A74" s="21" t="s">
        <v>91</v>
      </c>
      <c r="B74" s="6">
        <v>0.1163</v>
      </c>
      <c r="C74" s="6">
        <v>0.0981</v>
      </c>
      <c r="D74" s="6">
        <v>0.1015</v>
      </c>
      <c r="E74" s="22">
        <f t="shared" si="2"/>
        <v>0.1053</v>
      </c>
      <c r="F74" s="2">
        <f>E74/0.0756</f>
        <v>1.39285714285714</v>
      </c>
      <c r="I74" s="15" t="s">
        <v>66</v>
      </c>
      <c r="J74" s="14">
        <v>0.1533</v>
      </c>
      <c r="K74" s="14">
        <v>0.1476</v>
      </c>
      <c r="L74" s="14">
        <v>0.1269</v>
      </c>
      <c r="M74" s="22">
        <f t="shared" si="3"/>
        <v>0.1426</v>
      </c>
      <c r="N74" s="25">
        <f>M74/0.132</f>
        <v>1.08030303030303</v>
      </c>
    </row>
    <row r="75" spans="1:14">
      <c r="A75" s="19" t="s">
        <v>29</v>
      </c>
      <c r="B75" s="4">
        <v>0.1161</v>
      </c>
      <c r="C75" s="4">
        <v>0.1293</v>
      </c>
      <c r="D75" s="4">
        <v>0.1384</v>
      </c>
      <c r="E75" s="22">
        <f t="shared" si="2"/>
        <v>0.127933333333333</v>
      </c>
      <c r="F75" s="2">
        <f>E75/0.0883</f>
        <v>1.44884862212156</v>
      </c>
      <c r="I75" s="18" t="s">
        <v>82</v>
      </c>
      <c r="J75" s="4">
        <v>0.1208</v>
      </c>
      <c r="K75" s="4">
        <v>0.1217</v>
      </c>
      <c r="L75" s="4">
        <v>0.1076</v>
      </c>
      <c r="M75" s="22">
        <f t="shared" si="3"/>
        <v>0.1167</v>
      </c>
      <c r="N75" s="25">
        <f>M75/0.1079</f>
        <v>1.08155699721965</v>
      </c>
    </row>
    <row r="76" spans="1:14">
      <c r="A76" s="15" t="s">
        <v>68</v>
      </c>
      <c r="B76" s="14">
        <v>0.1352</v>
      </c>
      <c r="C76" s="14">
        <v>0.1329</v>
      </c>
      <c r="D76" s="14">
        <v>0.1383</v>
      </c>
      <c r="E76" s="22">
        <f t="shared" si="2"/>
        <v>0.135466666666667</v>
      </c>
      <c r="F76" s="2">
        <f>E76/0.0918</f>
        <v>1.47567175018155</v>
      </c>
      <c r="I76" s="18" t="s">
        <v>74</v>
      </c>
      <c r="J76" s="4">
        <v>0.118</v>
      </c>
      <c r="K76" s="4">
        <v>0.119</v>
      </c>
      <c r="L76" s="4">
        <v>0.1145</v>
      </c>
      <c r="M76" s="22">
        <f t="shared" si="3"/>
        <v>0.117166666666667</v>
      </c>
      <c r="N76" s="25">
        <f>M76/0.1079</f>
        <v>1.08588198949645</v>
      </c>
    </row>
    <row r="77" spans="1:14">
      <c r="A77" s="15" t="s">
        <v>64</v>
      </c>
      <c r="B77" s="14">
        <v>0.1263</v>
      </c>
      <c r="C77" s="14">
        <v>0.1492</v>
      </c>
      <c r="D77" s="14">
        <v>0.1331</v>
      </c>
      <c r="E77" s="22">
        <f t="shared" si="2"/>
        <v>0.1362</v>
      </c>
      <c r="F77" s="2">
        <f>E77/0.0918</f>
        <v>1.48366013071895</v>
      </c>
      <c r="I77" s="15" t="s">
        <v>56</v>
      </c>
      <c r="J77" s="14">
        <v>0.1318</v>
      </c>
      <c r="K77" s="14">
        <v>0.1335</v>
      </c>
      <c r="L77" s="14">
        <v>0.165</v>
      </c>
      <c r="M77" s="22">
        <f t="shared" si="3"/>
        <v>0.143433333333333</v>
      </c>
      <c r="N77" s="25">
        <f>M77/0.132</f>
        <v>1.08661616161616</v>
      </c>
    </row>
    <row r="78" spans="1:14">
      <c r="A78" s="15" t="s">
        <v>61</v>
      </c>
      <c r="B78" s="6">
        <v>0.1342</v>
      </c>
      <c r="C78" s="6">
        <v>0.1403</v>
      </c>
      <c r="D78" s="6">
        <v>0.1519</v>
      </c>
      <c r="E78" s="22">
        <f t="shared" si="2"/>
        <v>0.142133333333333</v>
      </c>
      <c r="F78" s="2">
        <f>E78/0.0918</f>
        <v>1.54829339143065</v>
      </c>
      <c r="I78" s="20" t="s">
        <v>88</v>
      </c>
      <c r="J78" s="6">
        <v>0.089</v>
      </c>
      <c r="K78" s="6">
        <v>0.0941</v>
      </c>
      <c r="L78" s="6">
        <v>0.0902</v>
      </c>
      <c r="M78" s="22">
        <f t="shared" si="3"/>
        <v>0.0911</v>
      </c>
      <c r="N78" s="25">
        <f>M78/0.0834</f>
        <v>1.09232613908873</v>
      </c>
    </row>
    <row r="79" spans="1:14">
      <c r="A79" s="15" t="s">
        <v>66</v>
      </c>
      <c r="B79" s="14">
        <v>0.1533</v>
      </c>
      <c r="C79" s="14">
        <v>0.1476</v>
      </c>
      <c r="D79" s="14">
        <v>0.1269</v>
      </c>
      <c r="E79" s="22">
        <f t="shared" si="2"/>
        <v>0.1426</v>
      </c>
      <c r="F79" s="2">
        <f>E79/0.0918</f>
        <v>1.55337690631808</v>
      </c>
      <c r="I79" s="15" t="s">
        <v>58</v>
      </c>
      <c r="J79" s="6">
        <v>0.1481</v>
      </c>
      <c r="K79" s="6">
        <v>0.1457</v>
      </c>
      <c r="L79" s="6">
        <v>0.1445</v>
      </c>
      <c r="M79" s="22">
        <f t="shared" si="3"/>
        <v>0.1461</v>
      </c>
      <c r="N79" s="25">
        <f>M79/0.132</f>
        <v>1.10681818181818</v>
      </c>
    </row>
    <row r="80" spans="1:14">
      <c r="A80" s="15" t="s">
        <v>56</v>
      </c>
      <c r="B80" s="14">
        <v>0.1318</v>
      </c>
      <c r="C80" s="14">
        <v>0.1335</v>
      </c>
      <c r="D80" s="14">
        <v>0.165</v>
      </c>
      <c r="E80" s="22">
        <f t="shared" si="2"/>
        <v>0.143433333333333</v>
      </c>
      <c r="F80" s="2">
        <f>E80/0.0918</f>
        <v>1.56245461147422</v>
      </c>
      <c r="I80" s="13" t="s">
        <v>51</v>
      </c>
      <c r="J80" s="14">
        <v>0.1337</v>
      </c>
      <c r="K80" s="14">
        <v>0.1298</v>
      </c>
      <c r="L80" s="14">
        <v>0.1241</v>
      </c>
      <c r="M80" s="22">
        <f t="shared" si="3"/>
        <v>0.1292</v>
      </c>
      <c r="N80" s="25">
        <f>M80/0.116</f>
        <v>1.11379310344828</v>
      </c>
    </row>
    <row r="81" spans="1:14">
      <c r="A81" s="19" t="s">
        <v>40</v>
      </c>
      <c r="B81" s="6">
        <v>0.1391</v>
      </c>
      <c r="C81" s="6">
        <v>0.1401</v>
      </c>
      <c r="D81" s="6">
        <v>0.142</v>
      </c>
      <c r="E81" s="22">
        <f t="shared" si="2"/>
        <v>0.1404</v>
      </c>
      <c r="F81" s="2">
        <f>E81/0.0883</f>
        <v>1.59003397508494</v>
      </c>
      <c r="I81" s="19" t="s">
        <v>30</v>
      </c>
      <c r="J81" s="4">
        <v>0.1629</v>
      </c>
      <c r="K81" s="4">
        <v>0.1904</v>
      </c>
      <c r="L81" s="4">
        <v>0.1561</v>
      </c>
      <c r="M81" s="22">
        <f t="shared" si="3"/>
        <v>0.1698</v>
      </c>
      <c r="N81" s="25">
        <f>M81/0.1516</f>
        <v>1.12005277044855</v>
      </c>
    </row>
    <row r="82" spans="1:14">
      <c r="A82" s="15" t="s">
        <v>58</v>
      </c>
      <c r="B82" s="6">
        <v>0.1481</v>
      </c>
      <c r="C82" s="6">
        <v>0.1457</v>
      </c>
      <c r="D82" s="6">
        <v>0.1445</v>
      </c>
      <c r="E82" s="22">
        <f t="shared" si="2"/>
        <v>0.1461</v>
      </c>
      <c r="F82" s="2">
        <f>E82/0.0918</f>
        <v>1.59150326797386</v>
      </c>
      <c r="I82" s="18" t="s">
        <v>80</v>
      </c>
      <c r="J82" s="4">
        <v>0.1237</v>
      </c>
      <c r="K82" s="4">
        <v>0.1252</v>
      </c>
      <c r="L82" s="4">
        <v>0.1141</v>
      </c>
      <c r="M82" s="22">
        <f t="shared" si="3"/>
        <v>0.121</v>
      </c>
      <c r="N82" s="25">
        <f>M82/0.1079</f>
        <v>1.12140871177016</v>
      </c>
    </row>
    <row r="83" spans="1:14">
      <c r="A83" s="19" t="s">
        <v>41</v>
      </c>
      <c r="B83" s="6">
        <v>0.1302</v>
      </c>
      <c r="C83" s="6">
        <v>0.1455</v>
      </c>
      <c r="D83" s="6">
        <v>0.1567</v>
      </c>
      <c r="E83" s="22">
        <f t="shared" si="2"/>
        <v>0.144133333333333</v>
      </c>
      <c r="F83" s="2">
        <f>E83/0.0883</f>
        <v>1.6323140807852</v>
      </c>
      <c r="I83" s="13" t="s">
        <v>46</v>
      </c>
      <c r="J83" s="14">
        <v>0.137</v>
      </c>
      <c r="K83" s="14">
        <v>0.1243</v>
      </c>
      <c r="L83" s="14">
        <v>0.1301</v>
      </c>
      <c r="M83" s="22">
        <f t="shared" si="3"/>
        <v>0.130466666666667</v>
      </c>
      <c r="N83" s="25">
        <f>M83/0.116</f>
        <v>1.12471264367816</v>
      </c>
    </row>
    <row r="84" spans="1:14">
      <c r="A84" s="15" t="s">
        <v>69</v>
      </c>
      <c r="B84" s="6">
        <v>0.1476</v>
      </c>
      <c r="C84" s="6">
        <v>0.1492</v>
      </c>
      <c r="D84" s="6">
        <v>0.1611</v>
      </c>
      <c r="E84" s="22">
        <f t="shared" si="2"/>
        <v>0.152633333333333</v>
      </c>
      <c r="F84" s="2">
        <f>E84/0.0918</f>
        <v>1.66267247639797</v>
      </c>
      <c r="I84" s="13" t="s">
        <v>47</v>
      </c>
      <c r="J84" s="14">
        <v>0.1287</v>
      </c>
      <c r="K84" s="14">
        <v>0.1404</v>
      </c>
      <c r="L84" s="14">
        <v>0.1301</v>
      </c>
      <c r="M84" s="22">
        <f t="shared" si="3"/>
        <v>0.133066666666667</v>
      </c>
      <c r="N84" s="25">
        <f>M84/0.116</f>
        <v>1.14712643678161</v>
      </c>
    </row>
    <row r="85" spans="1:14">
      <c r="A85" s="15" t="s">
        <v>65</v>
      </c>
      <c r="B85" s="14">
        <v>0.1734</v>
      </c>
      <c r="C85" s="14">
        <v>0.1468</v>
      </c>
      <c r="D85" s="14">
        <v>0.1404</v>
      </c>
      <c r="E85" s="22">
        <f t="shared" si="2"/>
        <v>0.153533333333333</v>
      </c>
      <c r="F85" s="2">
        <f>E85/0.0918</f>
        <v>1.67247639796659</v>
      </c>
      <c r="I85" s="15" t="s">
        <v>69</v>
      </c>
      <c r="J85" s="6">
        <v>0.1476</v>
      </c>
      <c r="K85" s="6">
        <v>0.1492</v>
      </c>
      <c r="L85" s="6">
        <v>0.1611</v>
      </c>
      <c r="M85" s="22">
        <f t="shared" si="3"/>
        <v>0.152633333333333</v>
      </c>
      <c r="N85" s="25">
        <f>M85/0.132</f>
        <v>1.15631313131313</v>
      </c>
    </row>
    <row r="86" spans="1:14">
      <c r="A86" s="15" t="s">
        <v>67</v>
      </c>
      <c r="B86" s="6">
        <v>0.1506</v>
      </c>
      <c r="C86" s="6">
        <v>0.168</v>
      </c>
      <c r="D86" s="6">
        <v>0.1545</v>
      </c>
      <c r="E86" s="22">
        <f t="shared" si="2"/>
        <v>0.1577</v>
      </c>
      <c r="F86" s="2">
        <f>E86/0.0918</f>
        <v>1.71786492374728</v>
      </c>
      <c r="I86" s="15" t="s">
        <v>65</v>
      </c>
      <c r="J86" s="14">
        <v>0.1734</v>
      </c>
      <c r="K86" s="14">
        <v>0.1468</v>
      </c>
      <c r="L86" s="14">
        <v>0.1404</v>
      </c>
      <c r="M86" s="22">
        <f t="shared" si="3"/>
        <v>0.153533333333333</v>
      </c>
      <c r="N86" s="25">
        <f>M86/0.132</f>
        <v>1.16313131313131</v>
      </c>
    </row>
    <row r="87" spans="1:14">
      <c r="A87" s="15" t="s">
        <v>71</v>
      </c>
      <c r="B87" s="14">
        <v>0.1491</v>
      </c>
      <c r="C87" s="14">
        <v>0.1616</v>
      </c>
      <c r="D87" s="14">
        <v>0.17</v>
      </c>
      <c r="E87" s="22">
        <f t="shared" si="2"/>
        <v>0.160233333333333</v>
      </c>
      <c r="F87" s="2">
        <f>E87/0.0918</f>
        <v>1.74546114742193</v>
      </c>
      <c r="I87" s="15" t="s">
        <v>67</v>
      </c>
      <c r="J87" s="6">
        <v>0.1506</v>
      </c>
      <c r="K87" s="6">
        <v>0.168</v>
      </c>
      <c r="L87" s="6">
        <v>0.1545</v>
      </c>
      <c r="M87" s="22">
        <f t="shared" si="3"/>
        <v>0.1577</v>
      </c>
      <c r="N87" s="25">
        <f>M87/0.132</f>
        <v>1.19469696969697</v>
      </c>
    </row>
    <row r="88" spans="1:14">
      <c r="A88" s="19" t="s">
        <v>31</v>
      </c>
      <c r="B88" s="4">
        <v>0.1582</v>
      </c>
      <c r="C88" s="4">
        <v>0.1533</v>
      </c>
      <c r="D88" s="4">
        <v>0.1695</v>
      </c>
      <c r="E88" s="22">
        <f t="shared" si="2"/>
        <v>0.160333333333333</v>
      </c>
      <c r="F88" s="2">
        <f>E88/0.0883</f>
        <v>1.81577953944885</v>
      </c>
      <c r="I88" s="15" t="s">
        <v>71</v>
      </c>
      <c r="J88" s="14">
        <v>0.1491</v>
      </c>
      <c r="K88" s="14">
        <v>0.1616</v>
      </c>
      <c r="L88" s="14">
        <v>0.17</v>
      </c>
      <c r="M88" s="22">
        <f t="shared" si="3"/>
        <v>0.160233333333333</v>
      </c>
      <c r="N88" s="25">
        <f>M88/0.132</f>
        <v>1.21388888888889</v>
      </c>
    </row>
    <row r="89" spans="1:14">
      <c r="A89" s="19" t="s">
        <v>30</v>
      </c>
      <c r="B89" s="4">
        <v>0.1629</v>
      </c>
      <c r="C89" s="4">
        <v>0.1904</v>
      </c>
      <c r="D89" s="4">
        <v>0.1561</v>
      </c>
      <c r="E89" s="22">
        <f t="shared" si="2"/>
        <v>0.1698</v>
      </c>
      <c r="F89" s="2">
        <f>E89/0.0883</f>
        <v>1.92298980747452</v>
      </c>
      <c r="I89" s="21" t="s">
        <v>91</v>
      </c>
      <c r="J89" s="6">
        <v>0.1163</v>
      </c>
      <c r="K89" s="6">
        <v>0.0981</v>
      </c>
      <c r="L89" s="6">
        <v>0.1015</v>
      </c>
      <c r="M89" s="22">
        <f t="shared" si="3"/>
        <v>0.1053</v>
      </c>
      <c r="N89" s="25">
        <f>M89/0.0834</f>
        <v>1.26258992805755</v>
      </c>
    </row>
  </sheetData>
  <sortState ref="I1:N90">
    <sortCondition ref="N1:N90"/>
  </sortState>
  <conditionalFormatting sqref="I$1:I$1048576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workbookViewId="0">
      <selection activeCell="G9" sqref="G9"/>
    </sheetView>
  </sheetViews>
  <sheetFormatPr defaultColWidth="9.23076923076923" defaultRowHeight="16.8"/>
  <cols>
    <col min="5" max="5" width="9.125" style="1" customWidth="1"/>
    <col min="6" max="6" width="25.4711538461538" style="2" customWidth="1"/>
    <col min="9" max="9" width="12.8173076923077" customWidth="1"/>
    <col min="14" max="14" width="9.125" style="1" customWidth="1"/>
    <col min="15" max="15" width="25.4711538461538" style="2" customWidth="1"/>
  </cols>
  <sheetData>
    <row r="1" spans="5:15">
      <c r="E1" s="1" t="s">
        <v>0</v>
      </c>
      <c r="F1" s="8" t="s">
        <v>2</v>
      </c>
      <c r="N1" s="1" t="s">
        <v>0</v>
      </c>
      <c r="O1" s="12" t="s">
        <v>1</v>
      </c>
    </row>
    <row r="2" spans="1:15">
      <c r="A2" s="3" t="s">
        <v>64</v>
      </c>
      <c r="B2" s="4">
        <v>0.1246</v>
      </c>
      <c r="C2" s="4">
        <v>0.1229</v>
      </c>
      <c r="D2" s="4">
        <v>0.12</v>
      </c>
      <c r="E2" s="9">
        <f t="shared" ref="E2:E22" si="0">(B2+C2+D2)/3</f>
        <v>0.1225</v>
      </c>
      <c r="F2" s="2">
        <f>E2/0.122</f>
        <v>1.00409836065574</v>
      </c>
      <c r="J2" t="s">
        <v>82</v>
      </c>
      <c r="K2" s="4">
        <v>0.1668</v>
      </c>
      <c r="L2" s="4">
        <v>0.1431</v>
      </c>
      <c r="M2" s="4">
        <v>0.1554</v>
      </c>
      <c r="N2" s="9">
        <f t="shared" ref="N2:N30" si="1">(K2+L2+M2)/3</f>
        <v>0.1551</v>
      </c>
      <c r="O2" s="2">
        <f>N2/0.1867</f>
        <v>0.830744509908945</v>
      </c>
    </row>
    <row r="3" spans="1:15">
      <c r="A3" s="3" t="s">
        <v>61</v>
      </c>
      <c r="B3" s="4">
        <v>0.1281</v>
      </c>
      <c r="C3" s="4">
        <v>0.1257</v>
      </c>
      <c r="D3" s="4">
        <v>0.1235</v>
      </c>
      <c r="E3" s="9">
        <f t="shared" si="0"/>
        <v>0.125766666666667</v>
      </c>
      <c r="F3" s="2">
        <f>E3/0.122</f>
        <v>1.03087431693989</v>
      </c>
      <c r="J3" s="3" t="s">
        <v>64</v>
      </c>
      <c r="K3" s="4">
        <v>0.1246</v>
      </c>
      <c r="L3" s="4">
        <v>0.1229</v>
      </c>
      <c r="M3" s="4">
        <v>0.12</v>
      </c>
      <c r="N3" s="9">
        <f t="shared" si="1"/>
        <v>0.1225</v>
      </c>
      <c r="O3" s="2">
        <f>N3/0.146</f>
        <v>0.839041095890411</v>
      </c>
    </row>
    <row r="4" spans="1:15">
      <c r="A4" t="s">
        <v>82</v>
      </c>
      <c r="B4" s="4">
        <v>0.1668</v>
      </c>
      <c r="C4" s="4">
        <v>0.1431</v>
      </c>
      <c r="D4" s="4">
        <v>0.1554</v>
      </c>
      <c r="E4" s="9">
        <f t="shared" si="0"/>
        <v>0.1551</v>
      </c>
      <c r="F4" s="2">
        <f>E4/0.1475</f>
        <v>1.05152542372881</v>
      </c>
      <c r="J4" s="3" t="s">
        <v>61</v>
      </c>
      <c r="K4" s="4">
        <v>0.1281</v>
      </c>
      <c r="L4" s="4">
        <v>0.1257</v>
      </c>
      <c r="M4" s="4">
        <v>0.1235</v>
      </c>
      <c r="N4" s="9">
        <f t="shared" si="1"/>
        <v>0.125766666666667</v>
      </c>
      <c r="O4" s="2">
        <f>N4/0.146</f>
        <v>0.861415525114155</v>
      </c>
    </row>
    <row r="5" spans="1:15">
      <c r="A5" t="s">
        <v>22</v>
      </c>
      <c r="B5" s="4">
        <v>0.1351</v>
      </c>
      <c r="C5" s="4">
        <v>0.1283</v>
      </c>
      <c r="D5" s="4">
        <v>0.1275</v>
      </c>
      <c r="E5" s="9">
        <f t="shared" si="0"/>
        <v>0.1303</v>
      </c>
      <c r="F5" s="2">
        <f>E5/0.122</f>
        <v>1.06803278688525</v>
      </c>
      <c r="J5" t="s">
        <v>75</v>
      </c>
      <c r="K5" s="4">
        <v>0.1729</v>
      </c>
      <c r="L5" s="4">
        <v>0.1482</v>
      </c>
      <c r="M5" s="4">
        <v>0.1641</v>
      </c>
      <c r="N5" s="9">
        <f t="shared" si="1"/>
        <v>0.161733333333333</v>
      </c>
      <c r="O5" s="2">
        <f>N5/0.1867</f>
        <v>0.866273879664346</v>
      </c>
    </row>
    <row r="6" spans="1:15">
      <c r="A6" t="s">
        <v>75</v>
      </c>
      <c r="B6" s="4">
        <v>0.1729</v>
      </c>
      <c r="C6" s="4">
        <v>0.1482</v>
      </c>
      <c r="D6" s="4">
        <v>0.1641</v>
      </c>
      <c r="E6" s="9">
        <f t="shared" si="0"/>
        <v>0.161733333333333</v>
      </c>
      <c r="F6" s="2">
        <f>E6/0.1475</f>
        <v>1.09649717514124</v>
      </c>
      <c r="J6" t="s">
        <v>67</v>
      </c>
      <c r="K6" s="4">
        <v>0.1669</v>
      </c>
      <c r="L6" s="4">
        <v>0.1537</v>
      </c>
      <c r="M6" s="4">
        <v>0.1665</v>
      </c>
      <c r="N6" s="9">
        <f t="shared" si="1"/>
        <v>0.162366666666667</v>
      </c>
      <c r="O6" s="2">
        <f>N6/0.1867</f>
        <v>0.869666131048027</v>
      </c>
    </row>
    <row r="7" spans="1:15">
      <c r="A7" t="s">
        <v>67</v>
      </c>
      <c r="B7" s="4">
        <v>0.1669</v>
      </c>
      <c r="C7" s="4">
        <v>0.1537</v>
      </c>
      <c r="D7" s="4">
        <v>0.1665</v>
      </c>
      <c r="E7" s="9">
        <f t="shared" si="0"/>
        <v>0.162366666666667</v>
      </c>
      <c r="F7" s="2">
        <f>E7/0.1475</f>
        <v>1.10079096045198</v>
      </c>
      <c r="J7" t="s">
        <v>88</v>
      </c>
      <c r="K7">
        <v>0.1145</v>
      </c>
      <c r="L7">
        <v>0.111</v>
      </c>
      <c r="M7">
        <v>0.1107</v>
      </c>
      <c r="N7" s="1">
        <f t="shared" si="1"/>
        <v>0.112066666666667</v>
      </c>
      <c r="O7" s="2">
        <f>N7/0.126</f>
        <v>0.889417989417989</v>
      </c>
    </row>
    <row r="8" spans="1:15">
      <c r="A8" t="s">
        <v>88</v>
      </c>
      <c r="B8">
        <v>0.1145</v>
      </c>
      <c r="C8">
        <v>0.111</v>
      </c>
      <c r="D8">
        <v>0.1107</v>
      </c>
      <c r="E8" s="1">
        <f t="shared" si="0"/>
        <v>0.112066666666667</v>
      </c>
      <c r="F8" s="2">
        <f>E8/0.1009</f>
        <v>1.11067063098778</v>
      </c>
      <c r="I8" t="s">
        <v>22</v>
      </c>
      <c r="J8" t="s">
        <v>22</v>
      </c>
      <c r="K8" s="4">
        <v>0.1351</v>
      </c>
      <c r="L8" s="4">
        <v>0.1283</v>
      </c>
      <c r="M8" s="4">
        <v>0.1275</v>
      </c>
      <c r="N8" s="9">
        <f t="shared" si="1"/>
        <v>0.1303</v>
      </c>
      <c r="O8" s="2">
        <f>N8/0.146</f>
        <v>0.892465753424658</v>
      </c>
    </row>
    <row r="9" spans="1:15">
      <c r="A9" t="s">
        <v>69</v>
      </c>
      <c r="B9" s="4">
        <v>0.1687</v>
      </c>
      <c r="C9" s="4">
        <v>0.1776</v>
      </c>
      <c r="D9" s="4">
        <v>0.173</v>
      </c>
      <c r="E9" s="9">
        <f t="shared" si="0"/>
        <v>0.1731</v>
      </c>
      <c r="F9" s="2">
        <f>E9/0.1475</f>
        <v>1.1735593220339</v>
      </c>
      <c r="J9" t="s">
        <v>69</v>
      </c>
      <c r="K9" s="4">
        <v>0.1687</v>
      </c>
      <c r="L9" s="4">
        <v>0.1776</v>
      </c>
      <c r="M9" s="4">
        <v>0.173</v>
      </c>
      <c r="N9" s="9">
        <f t="shared" si="1"/>
        <v>0.1731</v>
      </c>
      <c r="O9" s="2">
        <f>N9/0.1867</f>
        <v>0.927155865024103</v>
      </c>
    </row>
    <row r="10" spans="1:15">
      <c r="A10" t="s">
        <v>48</v>
      </c>
      <c r="B10" s="5">
        <v>0.1702</v>
      </c>
      <c r="C10" s="5">
        <v>0.1763</v>
      </c>
      <c r="D10" s="5">
        <v>0.1743</v>
      </c>
      <c r="E10" s="9">
        <f t="shared" si="0"/>
        <v>0.1736</v>
      </c>
      <c r="F10" s="2">
        <f>E10/0.1475</f>
        <v>1.17694915254237</v>
      </c>
      <c r="J10" t="s">
        <v>48</v>
      </c>
      <c r="K10" s="5">
        <v>0.1702</v>
      </c>
      <c r="L10" s="5">
        <v>0.1763</v>
      </c>
      <c r="M10" s="5">
        <v>0.1743</v>
      </c>
      <c r="N10" s="9">
        <f t="shared" si="1"/>
        <v>0.1736</v>
      </c>
      <c r="O10" s="2">
        <f>N10/0.1867</f>
        <v>0.929833958221746</v>
      </c>
    </row>
    <row r="11" spans="1:15">
      <c r="A11" s="3" t="s">
        <v>46</v>
      </c>
      <c r="B11" s="4">
        <v>0.1396</v>
      </c>
      <c r="C11" s="4">
        <v>0.1457</v>
      </c>
      <c r="D11" s="4">
        <v>0.1469</v>
      </c>
      <c r="E11" s="9">
        <f t="shared" si="0"/>
        <v>0.144066666666667</v>
      </c>
      <c r="F11" s="2">
        <f>E11/0.122</f>
        <v>1.18087431693989</v>
      </c>
      <c r="J11" t="s">
        <v>83</v>
      </c>
      <c r="K11" s="4">
        <v>0.1772</v>
      </c>
      <c r="L11" s="4">
        <v>0.1783</v>
      </c>
      <c r="M11" s="4">
        <v>0.182</v>
      </c>
      <c r="N11" s="9">
        <f t="shared" si="1"/>
        <v>0.179166666666667</v>
      </c>
      <c r="O11" s="2">
        <f>N11/0.1867</f>
        <v>0.959650062488841</v>
      </c>
    </row>
    <row r="12" spans="1:15">
      <c r="A12" s="3" t="s">
        <v>30</v>
      </c>
      <c r="B12" s="4">
        <v>0.1451</v>
      </c>
      <c r="C12" s="4">
        <v>0.1461</v>
      </c>
      <c r="D12" s="5">
        <v>0.1466</v>
      </c>
      <c r="E12" s="9">
        <f t="shared" si="0"/>
        <v>0.145933333333333</v>
      </c>
      <c r="F12" s="2">
        <f>E12/0.122</f>
        <v>1.19617486338798</v>
      </c>
      <c r="J12" t="s">
        <v>84</v>
      </c>
      <c r="K12" s="4">
        <v>0.1827</v>
      </c>
      <c r="L12" s="4">
        <v>0.1702</v>
      </c>
      <c r="M12" s="4">
        <v>0.1867</v>
      </c>
      <c r="N12" s="9">
        <f t="shared" si="1"/>
        <v>0.179866666666667</v>
      </c>
      <c r="O12" s="2">
        <f>N12/0.1867</f>
        <v>0.963399392965542</v>
      </c>
    </row>
    <row r="13" spans="1:15">
      <c r="A13" t="s">
        <v>83</v>
      </c>
      <c r="B13" s="4">
        <v>0.1772</v>
      </c>
      <c r="C13" s="4">
        <v>0.1783</v>
      </c>
      <c r="D13" s="4">
        <v>0.182</v>
      </c>
      <c r="E13" s="9">
        <f t="shared" si="0"/>
        <v>0.179166666666667</v>
      </c>
      <c r="F13" s="2">
        <f>E13/0.1475</f>
        <v>1.21468926553672</v>
      </c>
      <c r="J13" t="s">
        <v>73</v>
      </c>
      <c r="K13" s="4">
        <v>0.1838</v>
      </c>
      <c r="L13" s="4">
        <v>0.1812</v>
      </c>
      <c r="M13" s="4">
        <v>0.1766</v>
      </c>
      <c r="N13" s="9">
        <f t="shared" si="1"/>
        <v>0.180533333333333</v>
      </c>
      <c r="O13" s="2">
        <f>N13/0.1867</f>
        <v>0.966970183895733</v>
      </c>
    </row>
    <row r="14" spans="1:15">
      <c r="A14" t="s">
        <v>84</v>
      </c>
      <c r="B14" s="4">
        <v>0.1827</v>
      </c>
      <c r="C14" s="4">
        <v>0.1702</v>
      </c>
      <c r="D14" s="4">
        <v>0.1867</v>
      </c>
      <c r="E14" s="9">
        <f t="shared" si="0"/>
        <v>0.179866666666667</v>
      </c>
      <c r="F14" s="2">
        <f>E14/0.1475</f>
        <v>1.21943502824859</v>
      </c>
      <c r="J14" s="3" t="s">
        <v>46</v>
      </c>
      <c r="K14" s="4">
        <v>0.1396</v>
      </c>
      <c r="L14" s="4">
        <v>0.1457</v>
      </c>
      <c r="M14" s="4">
        <v>0.1469</v>
      </c>
      <c r="N14" s="9">
        <f t="shared" si="1"/>
        <v>0.144066666666667</v>
      </c>
      <c r="O14" s="2">
        <f>N14/0.146</f>
        <v>0.98675799086758</v>
      </c>
    </row>
    <row r="15" spans="1:15">
      <c r="A15" t="s">
        <v>73</v>
      </c>
      <c r="B15" s="4">
        <v>0.1838</v>
      </c>
      <c r="C15" s="4">
        <v>0.1812</v>
      </c>
      <c r="D15" s="4">
        <v>0.1766</v>
      </c>
      <c r="E15" s="9">
        <f t="shared" si="0"/>
        <v>0.180533333333333</v>
      </c>
      <c r="F15" s="2">
        <f>E15/0.1475</f>
        <v>1.22395480225989</v>
      </c>
      <c r="J15" t="s">
        <v>11</v>
      </c>
      <c r="K15">
        <v>0.1206</v>
      </c>
      <c r="L15">
        <v>0.135</v>
      </c>
      <c r="M15">
        <v>0.122</v>
      </c>
      <c r="N15" s="1">
        <f t="shared" si="1"/>
        <v>0.125866666666667</v>
      </c>
      <c r="O15" s="2">
        <f>N15/0.126</f>
        <v>0.998941798941799</v>
      </c>
    </row>
    <row r="16" spans="1:15">
      <c r="A16" s="3" t="s">
        <v>43</v>
      </c>
      <c r="B16" s="4">
        <v>0.1497</v>
      </c>
      <c r="C16" s="4">
        <v>0.1488</v>
      </c>
      <c r="D16" s="4">
        <v>0.1505</v>
      </c>
      <c r="E16" s="9">
        <f t="shared" si="0"/>
        <v>0.149666666666667</v>
      </c>
      <c r="F16" s="2">
        <f>E16/0.122</f>
        <v>1.22677595628415</v>
      </c>
      <c r="J16" s="3" t="s">
        <v>30</v>
      </c>
      <c r="K16" s="4">
        <v>0.1451</v>
      </c>
      <c r="L16" s="4">
        <v>0.1461</v>
      </c>
      <c r="M16" s="5">
        <v>0.1466</v>
      </c>
      <c r="N16" s="9">
        <f t="shared" si="1"/>
        <v>0.145933333333333</v>
      </c>
      <c r="O16" s="2">
        <f>N16/0.146</f>
        <v>0.999543378995434</v>
      </c>
    </row>
    <row r="17" spans="1:15">
      <c r="A17" s="3" t="s">
        <v>47</v>
      </c>
      <c r="B17" s="4">
        <v>0.1532</v>
      </c>
      <c r="C17" s="4">
        <v>0.1578</v>
      </c>
      <c r="D17" s="4">
        <v>0.1452</v>
      </c>
      <c r="E17" s="9">
        <f t="shared" si="0"/>
        <v>0.152066666666667</v>
      </c>
      <c r="F17" s="2">
        <f>E17/0.122</f>
        <v>1.24644808743169</v>
      </c>
      <c r="J17" s="3" t="s">
        <v>43</v>
      </c>
      <c r="K17" s="4">
        <v>0.1497</v>
      </c>
      <c r="L17" s="4">
        <v>0.1488</v>
      </c>
      <c r="M17" s="4">
        <v>0.1505</v>
      </c>
      <c r="N17" s="9">
        <f t="shared" si="1"/>
        <v>0.149666666666667</v>
      </c>
      <c r="O17" s="2">
        <f>N17/0.146</f>
        <v>1.02511415525114</v>
      </c>
    </row>
    <row r="18" spans="1:15">
      <c r="A18" t="s">
        <v>11</v>
      </c>
      <c r="B18">
        <v>0.1206</v>
      </c>
      <c r="C18">
        <v>0.135</v>
      </c>
      <c r="D18">
        <v>0.122</v>
      </c>
      <c r="E18" s="1">
        <f t="shared" si="0"/>
        <v>0.125866666666667</v>
      </c>
      <c r="F18" s="2">
        <f>E18/0.1009</f>
        <v>1.24743970928312</v>
      </c>
      <c r="J18" t="s">
        <v>56</v>
      </c>
      <c r="K18" s="4">
        <v>0.1891</v>
      </c>
      <c r="L18" s="4">
        <v>0.1773</v>
      </c>
      <c r="M18" s="4">
        <v>0.2141</v>
      </c>
      <c r="N18" s="9">
        <f t="shared" si="1"/>
        <v>0.1935</v>
      </c>
      <c r="O18" s="2">
        <f>N18/0.1867</f>
        <v>1.03642206748795</v>
      </c>
    </row>
    <row r="19" spans="1:15">
      <c r="A19" t="s">
        <v>56</v>
      </c>
      <c r="B19" s="4">
        <v>0.1891</v>
      </c>
      <c r="C19" s="4">
        <v>0.1773</v>
      </c>
      <c r="D19" s="4">
        <v>0.2141</v>
      </c>
      <c r="E19" s="9">
        <f t="shared" si="0"/>
        <v>0.1935</v>
      </c>
      <c r="F19" s="2">
        <f>E19/0.1475</f>
        <v>1.31186440677966</v>
      </c>
      <c r="J19" s="3" t="s">
        <v>47</v>
      </c>
      <c r="K19" s="4">
        <v>0.1532</v>
      </c>
      <c r="L19" s="4">
        <v>0.1578</v>
      </c>
      <c r="M19" s="4">
        <v>0.1452</v>
      </c>
      <c r="N19" s="9">
        <f t="shared" si="1"/>
        <v>0.152066666666667</v>
      </c>
      <c r="O19" s="2">
        <f>N19/0.146</f>
        <v>1.04155251141553</v>
      </c>
    </row>
    <row r="20" spans="1:15">
      <c r="A20" s="6" t="s">
        <v>93</v>
      </c>
      <c r="B20" s="6">
        <v>0.1383</v>
      </c>
      <c r="C20" s="6">
        <v>0.1328</v>
      </c>
      <c r="D20" s="6">
        <v>0.1284</v>
      </c>
      <c r="E20" s="1">
        <f t="shared" si="0"/>
        <v>0.133166666666667</v>
      </c>
      <c r="F20" s="2">
        <f>E20/0.1009</f>
        <v>1.3197885695408</v>
      </c>
      <c r="J20" s="6" t="s">
        <v>93</v>
      </c>
      <c r="K20" s="6">
        <v>0.1383</v>
      </c>
      <c r="L20" s="6">
        <v>0.1328</v>
      </c>
      <c r="M20" s="6">
        <v>0.1284</v>
      </c>
      <c r="N20" s="1">
        <f t="shared" si="1"/>
        <v>0.133166666666667</v>
      </c>
      <c r="O20" s="2">
        <f>N20/0.126</f>
        <v>1.05687830687831</v>
      </c>
    </row>
    <row r="21" spans="1:15">
      <c r="A21" t="s">
        <v>68</v>
      </c>
      <c r="B21" s="4">
        <v>0.1926</v>
      </c>
      <c r="C21" s="4">
        <v>0.2053</v>
      </c>
      <c r="D21" s="4">
        <v>0.2001</v>
      </c>
      <c r="E21" s="9">
        <f t="shared" si="0"/>
        <v>0.199333333333333</v>
      </c>
      <c r="F21" s="2">
        <f>E21/0.1475</f>
        <v>1.35141242937853</v>
      </c>
      <c r="J21" t="s">
        <v>68</v>
      </c>
      <c r="K21" s="4">
        <v>0.1926</v>
      </c>
      <c r="L21" s="4">
        <v>0.2053</v>
      </c>
      <c r="M21" s="4">
        <v>0.2001</v>
      </c>
      <c r="N21" s="9">
        <f t="shared" si="1"/>
        <v>0.199333333333333</v>
      </c>
      <c r="O21" s="2">
        <f>N21/0.1867</f>
        <v>1.06766648812712</v>
      </c>
    </row>
    <row r="22" spans="1:15">
      <c r="A22" t="s">
        <v>74</v>
      </c>
      <c r="B22" s="4">
        <v>0.1916</v>
      </c>
      <c r="C22" s="4">
        <v>0.2116</v>
      </c>
      <c r="D22" s="4">
        <v>0.1962</v>
      </c>
      <c r="E22" s="9">
        <f t="shared" si="0"/>
        <v>0.1998</v>
      </c>
      <c r="F22" s="2">
        <f>E22/0.1475</f>
        <v>1.35457627118644</v>
      </c>
      <c r="J22" t="s">
        <v>74</v>
      </c>
      <c r="K22" s="4">
        <v>0.1916</v>
      </c>
      <c r="L22" s="4">
        <v>0.2116</v>
      </c>
      <c r="M22" s="4">
        <v>0.1962</v>
      </c>
      <c r="N22" s="9">
        <f t="shared" si="1"/>
        <v>0.1998</v>
      </c>
      <c r="O22" s="2">
        <f>N22/0.1867</f>
        <v>1.07016604177825</v>
      </c>
    </row>
    <row r="23" spans="1:15">
      <c r="A23" s="6" t="s">
        <v>66</v>
      </c>
      <c r="B23" s="6">
        <v>0.1176</v>
      </c>
      <c r="C23" s="6">
        <v>0.1496</v>
      </c>
      <c r="D23" s="6">
        <v>0.1494</v>
      </c>
      <c r="E23" s="1">
        <f t="shared" ref="E23:E30" si="2">(B23+C23+D23)/3</f>
        <v>0.138866666666667</v>
      </c>
      <c r="F23" s="2">
        <f>E23/0.1009</f>
        <v>1.37628014535844</v>
      </c>
      <c r="I23" s="11" t="s">
        <v>22</v>
      </c>
      <c r="J23" s="6" t="s">
        <v>66</v>
      </c>
      <c r="K23" s="6">
        <v>0.1176</v>
      </c>
      <c r="L23" s="6">
        <v>0.1496</v>
      </c>
      <c r="M23" s="6">
        <v>0.1494</v>
      </c>
      <c r="N23" s="1">
        <f t="shared" si="1"/>
        <v>0.138866666666667</v>
      </c>
      <c r="O23" s="2">
        <f>N23/0.126</f>
        <v>1.1021164021164</v>
      </c>
    </row>
    <row r="24" spans="1:15">
      <c r="A24" t="s">
        <v>51</v>
      </c>
      <c r="B24" s="4">
        <v>0.1881</v>
      </c>
      <c r="C24" s="4">
        <v>0.1825</v>
      </c>
      <c r="D24" s="4">
        <v>0.2474</v>
      </c>
      <c r="E24" s="9">
        <f t="shared" si="2"/>
        <v>0.206</v>
      </c>
      <c r="F24" s="2">
        <f>E24/0.1475</f>
        <v>1.39661016949153</v>
      </c>
      <c r="J24" t="s">
        <v>51</v>
      </c>
      <c r="K24" s="4">
        <v>0.1881</v>
      </c>
      <c r="L24" s="4">
        <v>0.1825</v>
      </c>
      <c r="M24" s="4">
        <v>0.2474</v>
      </c>
      <c r="N24" s="9">
        <f t="shared" si="1"/>
        <v>0.206</v>
      </c>
      <c r="O24" s="2">
        <f>N24/0.1867</f>
        <v>1.10337439742903</v>
      </c>
    </row>
    <row r="25" spans="1:15">
      <c r="A25" s="3" t="s">
        <v>65</v>
      </c>
      <c r="B25" s="4">
        <v>0.1767</v>
      </c>
      <c r="C25" s="4">
        <v>0.1695</v>
      </c>
      <c r="D25" s="4">
        <v>0.177</v>
      </c>
      <c r="E25" s="9">
        <f t="shared" si="2"/>
        <v>0.1744</v>
      </c>
      <c r="F25" s="2">
        <f>E25/0.122</f>
        <v>1.42950819672131</v>
      </c>
      <c r="J25" t="s">
        <v>71</v>
      </c>
      <c r="K25" s="4">
        <v>0.2289</v>
      </c>
      <c r="L25" s="4">
        <v>0.22</v>
      </c>
      <c r="M25" s="4">
        <v>0.209</v>
      </c>
      <c r="N25" s="9">
        <f t="shared" si="1"/>
        <v>0.2193</v>
      </c>
      <c r="O25" s="2">
        <f>N25/0.1867</f>
        <v>1.17461167648634</v>
      </c>
    </row>
    <row r="26" spans="1:15">
      <c r="A26" t="s">
        <v>71</v>
      </c>
      <c r="B26" s="4">
        <v>0.2289</v>
      </c>
      <c r="C26" s="4">
        <v>0.22</v>
      </c>
      <c r="D26" s="4">
        <v>0.209</v>
      </c>
      <c r="E26" s="9">
        <f t="shared" si="2"/>
        <v>0.2193</v>
      </c>
      <c r="F26" s="2">
        <f>E26/0.1475</f>
        <v>1.48677966101695</v>
      </c>
      <c r="J26" s="3" t="s">
        <v>65</v>
      </c>
      <c r="K26" s="4">
        <v>0.1767</v>
      </c>
      <c r="L26" s="4">
        <v>0.1695</v>
      </c>
      <c r="M26" s="4">
        <v>0.177</v>
      </c>
      <c r="N26" s="9">
        <f t="shared" si="1"/>
        <v>0.1744</v>
      </c>
      <c r="O26" s="2">
        <f>N26/0.146</f>
        <v>1.19452054794521</v>
      </c>
    </row>
    <row r="27" spans="1:15">
      <c r="A27" s="6" t="s">
        <v>91</v>
      </c>
      <c r="B27" s="6">
        <v>0.1533</v>
      </c>
      <c r="C27" s="6">
        <v>0.1505</v>
      </c>
      <c r="D27" s="6">
        <v>0.1608</v>
      </c>
      <c r="E27" s="1">
        <f t="shared" si="2"/>
        <v>0.154866666666667</v>
      </c>
      <c r="F27" s="2">
        <f>E27/0.1009</f>
        <v>1.53485298975884</v>
      </c>
      <c r="I27" s="11" t="s">
        <v>94</v>
      </c>
      <c r="J27" s="6" t="s">
        <v>91</v>
      </c>
      <c r="K27" s="6">
        <v>0.1533</v>
      </c>
      <c r="L27" s="6">
        <v>0.1505</v>
      </c>
      <c r="M27" s="6">
        <v>0.1608</v>
      </c>
      <c r="N27" s="1">
        <f t="shared" si="1"/>
        <v>0.154866666666667</v>
      </c>
      <c r="O27" s="2">
        <f>N27/0.126</f>
        <v>1.22910052910053</v>
      </c>
    </row>
    <row r="28" spans="1:15">
      <c r="A28" s="7" t="s">
        <v>31</v>
      </c>
      <c r="B28" s="4">
        <v>0.1983</v>
      </c>
      <c r="C28" s="4">
        <v>0.1695</v>
      </c>
      <c r="D28" s="4">
        <v>0.2038</v>
      </c>
      <c r="E28" s="9">
        <f t="shared" si="2"/>
        <v>0.190533333333333</v>
      </c>
      <c r="F28" s="2">
        <f>E28/0.122</f>
        <v>1.56174863387978</v>
      </c>
      <c r="J28" s="7" t="s">
        <v>31</v>
      </c>
      <c r="K28" s="4">
        <v>0.1983</v>
      </c>
      <c r="L28" s="4">
        <v>0.1695</v>
      </c>
      <c r="M28" s="4">
        <v>0.2038</v>
      </c>
      <c r="N28" s="9">
        <f t="shared" si="1"/>
        <v>0.190533333333333</v>
      </c>
      <c r="O28" s="2">
        <f>N28/0.146</f>
        <v>1.30502283105023</v>
      </c>
    </row>
    <row r="29" spans="1:15">
      <c r="A29" s="3" t="s">
        <v>44</v>
      </c>
      <c r="B29" s="4">
        <v>0.2001</v>
      </c>
      <c r="C29" s="4">
        <v>0.2017</v>
      </c>
      <c r="D29" s="4">
        <v>0.1812</v>
      </c>
      <c r="E29" s="9">
        <f t="shared" si="2"/>
        <v>0.194333333333333</v>
      </c>
      <c r="F29" s="2">
        <f>E29/0.122</f>
        <v>1.59289617486339</v>
      </c>
      <c r="J29" s="3" t="s">
        <v>44</v>
      </c>
      <c r="K29" s="4">
        <v>0.2001</v>
      </c>
      <c r="L29" s="4">
        <v>0.2017</v>
      </c>
      <c r="M29" s="4">
        <v>0.1812</v>
      </c>
      <c r="N29" s="9">
        <f t="shared" si="1"/>
        <v>0.194333333333333</v>
      </c>
      <c r="O29" s="2">
        <f>N29/0.146</f>
        <v>1.3310502283105</v>
      </c>
    </row>
    <row r="30" spans="1:15">
      <c r="A30" s="6" t="s">
        <v>10</v>
      </c>
      <c r="B30" s="6">
        <v>0.1723</v>
      </c>
      <c r="C30" s="6">
        <v>0.1664</v>
      </c>
      <c r="D30" s="6">
        <v>0.1707</v>
      </c>
      <c r="E30" s="1">
        <f t="shared" si="2"/>
        <v>0.1698</v>
      </c>
      <c r="F30" s="2">
        <f>E30/0.1009</f>
        <v>1.68285431119921</v>
      </c>
      <c r="J30" s="6" t="s">
        <v>10</v>
      </c>
      <c r="K30" s="6">
        <v>0.1723</v>
      </c>
      <c r="L30" s="6">
        <v>0.1664</v>
      </c>
      <c r="M30" s="6">
        <v>0.1707</v>
      </c>
      <c r="N30" s="1">
        <f t="shared" si="1"/>
        <v>0.1698</v>
      </c>
      <c r="O30" s="2">
        <f>N30/0.126</f>
        <v>1.34761904761905</v>
      </c>
    </row>
    <row r="31" spans="1:15">
      <c r="A31" t="s">
        <v>80</v>
      </c>
      <c r="B31" s="4">
        <v>0.2738</v>
      </c>
      <c r="C31" s="4">
        <v>0.2301</v>
      </c>
      <c r="D31" s="3"/>
      <c r="E31" s="10">
        <f>(B31+C31)/2</f>
        <v>0.25195</v>
      </c>
      <c r="F31" s="2">
        <f>E31/0.1475</f>
        <v>1.70813559322034</v>
      </c>
      <c r="J31" t="s">
        <v>80</v>
      </c>
      <c r="K31" s="4">
        <v>0.2738</v>
      </c>
      <c r="L31" s="4">
        <v>0.2301</v>
      </c>
      <c r="M31" s="3"/>
      <c r="N31" s="10">
        <f>(K31+L31)/2</f>
        <v>0.25195</v>
      </c>
      <c r="O31" s="2">
        <f>N31/0.1867</f>
        <v>1.34949116229245</v>
      </c>
    </row>
    <row r="32" spans="1:15">
      <c r="A32" s="3" t="s">
        <v>58</v>
      </c>
      <c r="B32" s="4">
        <v>0.2153</v>
      </c>
      <c r="C32" s="4">
        <v>0.2155</v>
      </c>
      <c r="D32" s="4">
        <v>0.2276</v>
      </c>
      <c r="E32" s="9">
        <f>(B32+C32+D32)/3</f>
        <v>0.219466666666667</v>
      </c>
      <c r="F32" s="2">
        <f>E32/0.122</f>
        <v>1.79890710382514</v>
      </c>
      <c r="J32" t="s">
        <v>79</v>
      </c>
      <c r="K32" s="4">
        <v>0.2608</v>
      </c>
      <c r="L32" s="4">
        <v>0.2887</v>
      </c>
      <c r="M32" s="4">
        <v>0.259</v>
      </c>
      <c r="N32" s="9">
        <f>(K32+L32+M32)/3</f>
        <v>0.2695</v>
      </c>
      <c r="O32" s="2">
        <f>N32/0.1867</f>
        <v>1.44349223352973</v>
      </c>
    </row>
    <row r="33" spans="1:15">
      <c r="A33" t="s">
        <v>79</v>
      </c>
      <c r="B33" s="4">
        <v>0.2608</v>
      </c>
      <c r="C33" s="4">
        <v>0.2887</v>
      </c>
      <c r="D33" s="4">
        <v>0.259</v>
      </c>
      <c r="E33" s="9">
        <f>(B33+C33+D33)/3</f>
        <v>0.2695</v>
      </c>
      <c r="F33" s="2">
        <f>E33/0.1475</f>
        <v>1.8271186440678</v>
      </c>
      <c r="I33" s="11" t="s">
        <v>95</v>
      </c>
      <c r="J33" s="6" t="s">
        <v>90</v>
      </c>
      <c r="K33" s="6">
        <v>0.18</v>
      </c>
      <c r="L33" s="6">
        <v>0.184</v>
      </c>
      <c r="M33" s="6">
        <v>0.1991</v>
      </c>
      <c r="N33" s="1">
        <f>(K33+L33+M33)/3</f>
        <v>0.1877</v>
      </c>
      <c r="O33" s="2">
        <f>N33/0.126</f>
        <v>1.48968253968254</v>
      </c>
    </row>
    <row r="34" spans="1:15">
      <c r="A34" s="6" t="s">
        <v>90</v>
      </c>
      <c r="B34" s="6">
        <v>0.18</v>
      </c>
      <c r="C34" s="6">
        <v>0.184</v>
      </c>
      <c r="D34" s="6">
        <v>0.1991</v>
      </c>
      <c r="E34" s="1">
        <f>(B34+C34+D34)/3</f>
        <v>0.1877</v>
      </c>
      <c r="F34" s="2">
        <f>E34/0.1009</f>
        <v>1.86025768087215</v>
      </c>
      <c r="J34" s="3" t="s">
        <v>58</v>
      </c>
      <c r="K34" s="4">
        <v>0.2153</v>
      </c>
      <c r="L34" s="4">
        <v>0.2155</v>
      </c>
      <c r="M34" s="4">
        <v>0.2276</v>
      </c>
      <c r="N34" s="9">
        <f>(K34+L34+M34)/3</f>
        <v>0.219466666666667</v>
      </c>
      <c r="O34" s="2">
        <f>N34/0.146</f>
        <v>1.50319634703196</v>
      </c>
    </row>
    <row r="35" spans="1:15">
      <c r="A35" s="6" t="s">
        <v>14</v>
      </c>
      <c r="B35" s="6">
        <v>0.2113</v>
      </c>
      <c r="C35" s="6">
        <v>0.1871</v>
      </c>
      <c r="D35" s="6">
        <v>0.1891</v>
      </c>
      <c r="E35" s="1">
        <f>(B35+C35+D35)/3</f>
        <v>0.195833333333333</v>
      </c>
      <c r="F35" s="2">
        <f>E35/0.1009</f>
        <v>1.94086554344235</v>
      </c>
      <c r="J35" s="6" t="s">
        <v>14</v>
      </c>
      <c r="K35" s="6">
        <v>0.2113</v>
      </c>
      <c r="L35" s="6">
        <v>0.1871</v>
      </c>
      <c r="M35" s="6">
        <v>0.1891</v>
      </c>
      <c r="N35" s="1">
        <f>(K35+L35+M35)/3</f>
        <v>0.195833333333333</v>
      </c>
      <c r="O35" s="2">
        <f>N35/0.126</f>
        <v>1.5542328042328</v>
      </c>
    </row>
  </sheetData>
  <sortState ref="J2:O35">
    <sortCondition ref="O2:O35"/>
  </sortState>
  <conditionalFormatting sqref="A$1:A$1048576">
    <cfRule type="duplicateValues" dxfId="0" priority="1"/>
  </conditionalFormatting>
  <conditionalFormatting sqref="J$1:J$1048576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初筛</vt:lpstr>
      <vt:lpstr>复筛</vt:lpstr>
      <vt:lpstr>初筛排序</vt:lpstr>
      <vt:lpstr>复筛排序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We</cp:lastModifiedBy>
  <dcterms:created xsi:type="dcterms:W3CDTF">2026-07-02T10:53:00Z</dcterms:created>
  <dcterms:modified xsi:type="dcterms:W3CDTF">2026-07-24T15:13:31Z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3B4CFE068D8283C542DE416AC651680A_41</vt:lpwstr>
  </property>
  <property fmtid="{D5CDD505-2E9C-101B-9397-08002B2CF9AE}" pid="3" name="KSOProductBuildVer">
    <vt:lpwstr>2052-6.2.2.8394</vt:lpwstr>
  </property>
</Properties>
</file>