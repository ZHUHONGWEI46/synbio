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zyan\Desktop\mab2962\raw_data\"/>
    </mc:Choice>
  </mc:AlternateContent>
  <xr:revisionPtr revIDLastSave="0" documentId="13_ncr:1_{7F89C231-2532-4175-A58D-C4AC72BDAFDD}" xr6:coauthVersionLast="36" xr6:coauthVersionMax="36" xr10:uidLastSave="{00000000-0000-0000-0000-000000000000}"/>
  <bookViews>
    <workbookView xWindow="0" yWindow="0" windowWidth="27660" windowHeight="11138" activeTab="1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P3" i="1" l="1"/>
  <c r="S3" i="1"/>
  <c r="P2" i="1"/>
  <c r="P35" i="1" l="1"/>
  <c r="R35" i="1"/>
  <c r="Q3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R2" i="1"/>
  <c r="Q2" i="1"/>
  <c r="H35" i="1"/>
  <c r="G35" i="1"/>
  <c r="F35" i="1"/>
  <c r="E2" i="1"/>
  <c r="I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G2" i="1"/>
  <c r="H2" i="1"/>
  <c r="F2" i="1"/>
  <c r="S6" i="1"/>
  <c r="S7" i="1"/>
  <c r="S8" i="1"/>
  <c r="S11" i="1"/>
  <c r="S12" i="1"/>
  <c r="S13" i="1"/>
  <c r="S22" i="1"/>
  <c r="S23" i="1"/>
  <c r="S24" i="1"/>
  <c r="S27" i="1"/>
  <c r="S28" i="1"/>
  <c r="S29" i="1"/>
  <c r="I5" i="1"/>
  <c r="I6" i="1"/>
  <c r="I7" i="1"/>
  <c r="I8" i="1"/>
  <c r="I11" i="1"/>
  <c r="I12" i="1"/>
  <c r="I21" i="1"/>
  <c r="I22" i="1"/>
  <c r="I23" i="1"/>
  <c r="I24" i="1"/>
  <c r="I27" i="1"/>
  <c r="I28" i="1"/>
  <c r="L35" i="1"/>
  <c r="N35" i="1"/>
  <c r="M35" i="1"/>
  <c r="D35" i="1"/>
  <c r="C35" i="1"/>
  <c r="B35" i="1"/>
  <c r="O34" i="1"/>
  <c r="S34" i="1" s="1"/>
  <c r="E34" i="1"/>
  <c r="I34" i="1" s="1"/>
  <c r="O33" i="1"/>
  <c r="S33" i="1" s="1"/>
  <c r="E33" i="1"/>
  <c r="I33" i="1" s="1"/>
  <c r="O32" i="1"/>
  <c r="S32" i="1" s="1"/>
  <c r="E32" i="1"/>
  <c r="I32" i="1" s="1"/>
  <c r="O31" i="1"/>
  <c r="S31" i="1" s="1"/>
  <c r="E31" i="1"/>
  <c r="I31" i="1" s="1"/>
  <c r="O30" i="1"/>
  <c r="S30" i="1" s="1"/>
  <c r="E30" i="1"/>
  <c r="I30" i="1" s="1"/>
  <c r="O29" i="1"/>
  <c r="E29" i="1"/>
  <c r="I29" i="1" s="1"/>
  <c r="O28" i="1"/>
  <c r="E28" i="1"/>
  <c r="O27" i="1"/>
  <c r="E27" i="1"/>
  <c r="O26" i="1"/>
  <c r="S26" i="1" s="1"/>
  <c r="E26" i="1"/>
  <c r="I26" i="1" s="1"/>
  <c r="O25" i="1"/>
  <c r="S25" i="1" s="1"/>
  <c r="E25" i="1"/>
  <c r="I25" i="1" s="1"/>
  <c r="O24" i="1"/>
  <c r="E24" i="1"/>
  <c r="O23" i="1"/>
  <c r="E23" i="1"/>
  <c r="O22" i="1"/>
  <c r="E22" i="1"/>
  <c r="O21" i="1"/>
  <c r="E21" i="1"/>
  <c r="O20" i="1"/>
  <c r="S20" i="1" s="1"/>
  <c r="E20" i="1"/>
  <c r="I20" i="1" s="1"/>
  <c r="O19" i="1"/>
  <c r="S19" i="1" s="1"/>
  <c r="E19" i="1"/>
  <c r="I19" i="1" s="1"/>
  <c r="O18" i="1"/>
  <c r="S18" i="1" s="1"/>
  <c r="E18" i="1"/>
  <c r="I18" i="1" s="1"/>
  <c r="O17" i="1"/>
  <c r="S17" i="1" s="1"/>
  <c r="E17" i="1"/>
  <c r="I17" i="1" s="1"/>
  <c r="O16" i="1"/>
  <c r="S16" i="1" s="1"/>
  <c r="E16" i="1"/>
  <c r="I16" i="1" s="1"/>
  <c r="O15" i="1"/>
  <c r="S15" i="1" s="1"/>
  <c r="E15" i="1"/>
  <c r="I15" i="1" s="1"/>
  <c r="O14" i="1"/>
  <c r="S14" i="1" s="1"/>
  <c r="E14" i="1"/>
  <c r="I14" i="1" s="1"/>
  <c r="O13" i="1"/>
  <c r="E13" i="1"/>
  <c r="I13" i="1" s="1"/>
  <c r="O12" i="1"/>
  <c r="E12" i="1"/>
  <c r="O11" i="1"/>
  <c r="E11" i="1"/>
  <c r="O10" i="1"/>
  <c r="S10" i="1" s="1"/>
  <c r="E10" i="1"/>
  <c r="I10" i="1" s="1"/>
  <c r="O9" i="1"/>
  <c r="S9" i="1" s="1"/>
  <c r="E9" i="1"/>
  <c r="I9" i="1" s="1"/>
  <c r="O8" i="1"/>
  <c r="E8" i="1"/>
  <c r="O7" i="1"/>
  <c r="E7" i="1"/>
  <c r="O6" i="1"/>
  <c r="S21" i="1" s="1"/>
  <c r="E6" i="1"/>
  <c r="O5" i="1"/>
  <c r="E5" i="1"/>
  <c r="O4" i="1"/>
  <c r="S4" i="1" s="1"/>
  <c r="E4" i="1"/>
  <c r="I4" i="1" s="1"/>
  <c r="O3" i="1"/>
  <c r="E3" i="1"/>
  <c r="I3" i="1" s="1"/>
  <c r="O2" i="1"/>
  <c r="S2" i="1" s="1"/>
  <c r="S5" i="1" l="1"/>
</calcChain>
</file>

<file path=xl/sharedStrings.xml><?xml version="1.0" encoding="utf-8"?>
<sst xmlns="http://schemas.openxmlformats.org/spreadsheetml/2006/main" count="104" uniqueCount="74">
  <si>
    <r>
      <rPr>
        <sz val="12"/>
        <rFont val="宋体"/>
        <family val="3"/>
        <charset val="134"/>
        <scheme val="minor"/>
      </rPr>
      <t>WT</t>
    </r>
  </si>
  <si>
    <r>
      <rPr>
        <sz val="12"/>
        <rFont val="宋体"/>
        <family val="3"/>
        <charset val="134"/>
        <scheme val="minor"/>
      </rPr>
      <t>P</t>
    </r>
  </si>
  <si>
    <r>
      <rPr>
        <sz val="12"/>
        <rFont val="宋体"/>
        <family val="3"/>
        <charset val="134"/>
        <scheme val="minor"/>
      </rPr>
      <t>PS</t>
    </r>
  </si>
  <si>
    <r>
      <rPr>
        <sz val="12"/>
        <rFont val="宋体"/>
        <family val="3"/>
        <charset val="134"/>
        <scheme val="minor"/>
      </rPr>
      <t>PW</t>
    </r>
  </si>
  <si>
    <r>
      <rPr>
        <sz val="12"/>
        <rFont val="宋体"/>
        <family val="3"/>
        <charset val="134"/>
        <scheme val="minor"/>
      </rPr>
      <t>PSW</t>
    </r>
  </si>
  <si>
    <r>
      <rPr>
        <sz val="12"/>
        <rFont val="宋体"/>
        <family val="3"/>
        <charset val="134"/>
        <scheme val="minor"/>
      </rPr>
      <t>A38R</t>
    </r>
  </si>
  <si>
    <r>
      <rPr>
        <sz val="12"/>
        <rFont val="宋体"/>
        <family val="3"/>
        <charset val="134"/>
        <scheme val="minor"/>
      </rPr>
      <t>L42A</t>
    </r>
  </si>
  <si>
    <r>
      <rPr>
        <sz val="12"/>
        <rFont val="宋体"/>
        <family val="3"/>
        <charset val="134"/>
        <scheme val="minor"/>
      </rPr>
      <t>L42R</t>
    </r>
  </si>
  <si>
    <r>
      <rPr>
        <sz val="12"/>
        <rFont val="宋体"/>
        <family val="3"/>
        <charset val="134"/>
        <scheme val="minor"/>
      </rPr>
      <t>Q191R</t>
    </r>
  </si>
  <si>
    <r>
      <rPr>
        <sz val="12"/>
        <rFont val="宋体"/>
        <family val="3"/>
        <charset val="134"/>
        <scheme val="minor"/>
      </rPr>
      <t>C412I</t>
    </r>
  </si>
  <si>
    <r>
      <rPr>
        <sz val="12"/>
        <rFont val="宋体"/>
        <family val="3"/>
        <charset val="134"/>
        <scheme val="minor"/>
      </rPr>
      <t>C412V</t>
    </r>
  </si>
  <si>
    <r>
      <rPr>
        <sz val="12"/>
        <rFont val="宋体"/>
        <family val="3"/>
        <charset val="134"/>
        <scheme val="minor"/>
      </rPr>
      <t>N416P</t>
    </r>
  </si>
  <si>
    <r>
      <rPr>
        <sz val="12"/>
        <rFont val="宋体"/>
        <family val="3"/>
        <charset val="134"/>
        <scheme val="minor"/>
      </rPr>
      <t>D419K</t>
    </r>
  </si>
  <si>
    <r>
      <rPr>
        <sz val="12"/>
        <rFont val="宋体"/>
        <family val="3"/>
        <charset val="134"/>
        <scheme val="minor"/>
      </rPr>
      <t>D419R</t>
    </r>
  </si>
  <si>
    <r>
      <rPr>
        <sz val="12"/>
        <rFont val="宋体"/>
        <family val="3"/>
        <charset val="134"/>
        <scheme val="minor"/>
      </rPr>
      <t>D419N</t>
    </r>
  </si>
  <si>
    <r>
      <rPr>
        <sz val="12"/>
        <rFont val="宋体"/>
        <family val="3"/>
        <charset val="134"/>
        <scheme val="minor"/>
      </rPr>
      <t>M494R</t>
    </r>
  </si>
  <si>
    <r>
      <rPr>
        <sz val="12"/>
        <rFont val="宋体"/>
        <family val="3"/>
        <charset val="134"/>
        <scheme val="minor"/>
      </rPr>
      <t>M494H</t>
    </r>
  </si>
  <si>
    <r>
      <rPr>
        <sz val="12"/>
        <rFont val="宋体"/>
        <family val="3"/>
        <charset val="134"/>
        <scheme val="minor"/>
      </rPr>
      <t>T529K</t>
    </r>
  </si>
  <si>
    <r>
      <rPr>
        <sz val="12"/>
        <rFont val="宋体"/>
        <family val="3"/>
        <charset val="134"/>
        <scheme val="minor"/>
      </rPr>
      <t>E589R</t>
    </r>
  </si>
  <si>
    <r>
      <rPr>
        <sz val="12"/>
        <rFont val="宋体"/>
        <family val="3"/>
        <charset val="134"/>
        <scheme val="minor"/>
      </rPr>
      <t>H771A</t>
    </r>
  </si>
  <si>
    <r>
      <rPr>
        <sz val="12"/>
        <rFont val="宋体"/>
        <family val="3"/>
        <charset val="134"/>
        <scheme val="minor"/>
      </rPr>
      <t>S791A</t>
    </r>
  </si>
  <si>
    <r>
      <rPr>
        <sz val="12"/>
        <rFont val="宋体"/>
        <family val="3"/>
        <charset val="134"/>
        <scheme val="minor"/>
      </rPr>
      <t>N792S</t>
    </r>
  </si>
  <si>
    <r>
      <rPr>
        <sz val="12"/>
        <rFont val="宋体"/>
        <family val="3"/>
        <charset val="134"/>
        <scheme val="minor"/>
      </rPr>
      <t>W872Y</t>
    </r>
  </si>
  <si>
    <r>
      <rPr>
        <sz val="12"/>
        <rFont val="宋体"/>
        <family val="3"/>
        <charset val="134"/>
        <scheme val="minor"/>
      </rPr>
      <t>L946D</t>
    </r>
  </si>
  <si>
    <r>
      <rPr>
        <sz val="12"/>
        <rFont val="宋体"/>
        <family val="3"/>
        <charset val="134"/>
        <scheme val="minor"/>
      </rPr>
      <t>L946E</t>
    </r>
  </si>
  <si>
    <r>
      <rPr>
        <sz val="12"/>
        <rFont val="宋体"/>
        <family val="3"/>
        <charset val="134"/>
        <scheme val="minor"/>
      </rPr>
      <t>G1043A</t>
    </r>
  </si>
  <si>
    <r>
      <rPr>
        <sz val="12"/>
        <rFont val="宋体"/>
        <family val="3"/>
        <charset val="134"/>
        <scheme val="minor"/>
      </rPr>
      <t>T1063V</t>
    </r>
  </si>
  <si>
    <r>
      <rPr>
        <sz val="12"/>
        <rFont val="宋体"/>
        <family val="3"/>
        <charset val="134"/>
        <scheme val="minor"/>
      </rPr>
      <t>D1065H</t>
    </r>
  </si>
  <si>
    <r>
      <rPr>
        <sz val="12"/>
        <rFont val="宋体"/>
        <family val="3"/>
        <charset val="134"/>
        <scheme val="minor"/>
      </rPr>
      <t>D1065N</t>
    </r>
  </si>
  <si>
    <r>
      <rPr>
        <sz val="12"/>
        <rFont val="宋体"/>
        <family val="3"/>
        <charset val="134"/>
        <scheme val="minor"/>
      </rPr>
      <t>C1066V</t>
    </r>
  </si>
  <si>
    <r>
      <rPr>
        <sz val="12"/>
        <rFont val="宋体"/>
        <family val="3"/>
        <charset val="134"/>
        <scheme val="minor"/>
      </rPr>
      <t>C1066L</t>
    </r>
  </si>
  <si>
    <r>
      <rPr>
        <sz val="12"/>
        <rFont val="宋体"/>
        <family val="3"/>
        <charset val="134"/>
        <scheme val="minor"/>
      </rPr>
      <t>H1145A</t>
    </r>
  </si>
  <si>
    <r>
      <rPr>
        <sz val="12"/>
        <rFont val="宋体"/>
        <family val="3"/>
        <charset val="134"/>
        <scheme val="minor"/>
      </rPr>
      <t>H504P</t>
    </r>
  </si>
  <si>
    <t>Name</t>
    <phoneticPr fontId="4" type="noConversion"/>
  </si>
  <si>
    <t>生长有误批次均值</t>
    <phoneticPr fontId="4" type="noConversion"/>
  </si>
  <si>
    <t>D281P</t>
    <phoneticPr fontId="4" type="noConversion"/>
  </si>
  <si>
    <t>D281P:N514S</t>
    <phoneticPr fontId="4" type="noConversion"/>
  </si>
  <si>
    <t>D281P:G420W</t>
    <phoneticPr fontId="4" type="noConversion"/>
  </si>
  <si>
    <t>D281P:G420W:N514S</t>
    <phoneticPr fontId="4" type="noConversion"/>
  </si>
  <si>
    <t>生长正常批次均值 全部是初筛值</t>
    <phoneticPr fontId="4" type="noConversion"/>
  </si>
  <si>
    <t>Name</t>
  </si>
  <si>
    <t>WT</t>
  </si>
  <si>
    <t>P</t>
  </si>
  <si>
    <t>PS</t>
  </si>
  <si>
    <t>PW</t>
  </si>
  <si>
    <t>PSW</t>
  </si>
  <si>
    <t>A38R</t>
  </si>
  <si>
    <t>L42A</t>
  </si>
  <si>
    <t>L42R</t>
  </si>
  <si>
    <t>Q191R</t>
  </si>
  <si>
    <t>C412I</t>
  </si>
  <si>
    <t>C412V</t>
  </si>
  <si>
    <t>N416P</t>
  </si>
  <si>
    <t>D419K</t>
  </si>
  <si>
    <t>D419R</t>
  </si>
  <si>
    <t>D419N</t>
  </si>
  <si>
    <t>M494R</t>
  </si>
  <si>
    <t>M494H</t>
  </si>
  <si>
    <t>T529K</t>
  </si>
  <si>
    <t>E589R</t>
  </si>
  <si>
    <t>H771A</t>
  </si>
  <si>
    <t>S791A</t>
  </si>
  <si>
    <t>N792S</t>
  </si>
  <si>
    <t>W872Y</t>
  </si>
  <si>
    <t>L946D</t>
  </si>
  <si>
    <t>L946E</t>
  </si>
  <si>
    <t>G1043A</t>
  </si>
  <si>
    <t>T1063V</t>
  </si>
  <si>
    <t>D1065H</t>
  </si>
  <si>
    <t>D1065N</t>
  </si>
  <si>
    <t>C1066V</t>
  </si>
  <si>
    <t>C1066L</t>
  </si>
  <si>
    <t>H1145A</t>
  </si>
  <si>
    <t>H504P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</si>
</sst>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 "/>
  </numFmts>
  <fonts count="5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/>
    <xf numFmtId="176" fontId="0" fillId="2" borderId="0" xfId="0" applyNumberFormat="1" applyFill="1">
      <alignment vertical="center"/>
    </xf>
    <xf numFmtId="0" fontId="3" fillId="0" borderId="0" xfId="0" applyFont="1">
      <alignment vertical="center"/>
    </xf>
    <xf numFmtId="0" fontId="3" fillId="0" borderId="0" xfId="0" applyFont="1" applyFill="1">
      <alignment vertical="center"/>
    </xf>
    <xf numFmtId="176" fontId="0" fillId="0" borderId="0" xfId="0" applyNumberFormat="1" applyFill="1">
      <alignment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opLeftCell="G8" workbookViewId="0">
      <selection activeCell="K1" sqref="K1:S34"/>
    </sheetView>
  </sheetViews>
  <sheetFormatPr defaultColWidth="9.19921875" defaultRowHeight="13.5" x14ac:dyDescent="0.3"/>
  <cols>
    <col min="5" max="5" width="12.9296875"/>
    <col min="6" max="9" width="9.19921875" style="7"/>
    <col min="15" max="15" width="12.9296875"/>
  </cols>
  <sheetData>
    <row r="1" spans="1:19" x14ac:dyDescent="0.3">
      <c r="A1" s="4" t="s">
        <v>33</v>
      </c>
      <c r="B1">
        <v>1</v>
      </c>
      <c r="C1">
        <v>2</v>
      </c>
      <c r="D1">
        <v>3</v>
      </c>
      <c r="E1" s="4" t="s">
        <v>34</v>
      </c>
      <c r="F1" s="5"/>
      <c r="G1" s="5"/>
      <c r="H1" s="5"/>
      <c r="I1" s="5"/>
      <c r="K1" s="4" t="s">
        <v>33</v>
      </c>
      <c r="L1">
        <v>1</v>
      </c>
      <c r="M1">
        <v>2</v>
      </c>
      <c r="N1">
        <v>3</v>
      </c>
      <c r="O1" s="4" t="s">
        <v>39</v>
      </c>
    </row>
    <row r="2" spans="1:19" ht="15.75" x14ac:dyDescent="0.4">
      <c r="A2" s="1" t="s">
        <v>0</v>
      </c>
      <c r="B2" s="2">
        <v>7.9500000000000001E-2</v>
      </c>
      <c r="C2" s="2">
        <v>7.8799999999999995E-2</v>
      </c>
      <c r="D2" s="2">
        <v>8.14E-2</v>
      </c>
      <c r="E2" s="3">
        <f>(B2+C2+D2)/3</f>
        <v>7.9899999999999999E-2</v>
      </c>
      <c r="F2" s="6">
        <f>B2/$B$6</f>
        <v>0.6575682382133996</v>
      </c>
      <c r="G2" s="6">
        <f>C2/$D$6</f>
        <v>0.6577629382303839</v>
      </c>
      <c r="H2" s="6">
        <f>D2/$D$6</f>
        <v>0.67946577629382299</v>
      </c>
      <c r="I2" s="6">
        <f t="shared" ref="I2:I34" si="0">E2/$E$6</f>
        <v>0.66398891966758999</v>
      </c>
      <c r="J2" s="8"/>
      <c r="K2" s="1" t="s">
        <v>0</v>
      </c>
      <c r="L2" s="2">
        <v>8.7999999999999995E-2</v>
      </c>
      <c r="M2" s="2">
        <v>9.1499999999999998E-2</v>
      </c>
      <c r="N2" s="2">
        <v>9.0899999999999995E-2</v>
      </c>
      <c r="O2" s="3">
        <f>(L2+M2+N2)/3</f>
        <v>9.0133333333333329E-2</v>
      </c>
      <c r="P2" s="6">
        <f>L2/$L$6</f>
        <v>0.76388888888888884</v>
      </c>
      <c r="Q2" s="6">
        <f>M2/$M$6</f>
        <v>0.7887931034482758</v>
      </c>
      <c r="R2" s="6">
        <f>N2/$N$6</f>
        <v>0.80585106382978722</v>
      </c>
      <c r="S2" s="6">
        <f t="shared" ref="S2:S34" si="1">O2/$O$6</f>
        <v>0.78604651162790684</v>
      </c>
    </row>
    <row r="3" spans="1:19" ht="15.75" x14ac:dyDescent="0.4">
      <c r="A3" s="1" t="s">
        <v>35</v>
      </c>
      <c r="B3" s="2">
        <v>0.1077</v>
      </c>
      <c r="C3" s="2">
        <v>0.108</v>
      </c>
      <c r="D3" s="2">
        <v>0.1099</v>
      </c>
      <c r="E3" s="3">
        <f t="shared" ref="E3:E34" si="2">(B3+C3+D3)/3</f>
        <v>0.10853333333333333</v>
      </c>
      <c r="F3" s="6">
        <f t="shared" ref="F3:F34" si="3">B3/$B$6</f>
        <v>0.89081885856079412</v>
      </c>
      <c r="G3" s="6">
        <f t="shared" ref="G3:G34" si="4">C3/$D$6</f>
        <v>0.90150250417362265</v>
      </c>
      <c r="H3" s="6">
        <f t="shared" ref="H3:H34" si="5">D3/$D$6</f>
        <v>0.91736227045075125</v>
      </c>
      <c r="I3" s="6">
        <f t="shared" si="0"/>
        <v>0.90193905817174513</v>
      </c>
      <c r="K3" s="1" t="s">
        <v>1</v>
      </c>
      <c r="L3" s="2">
        <v>0.1002</v>
      </c>
      <c r="M3" s="2">
        <v>0.1027</v>
      </c>
      <c r="N3" s="2">
        <v>9.6600000000000005E-2</v>
      </c>
      <c r="O3" s="3">
        <f t="shared" ref="O3:O34" si="6">(L3+M3+N3)/3</f>
        <v>9.9833333333333329E-2</v>
      </c>
      <c r="P3" s="6">
        <f>L3/$L$6</f>
        <v>0.86979166666666663</v>
      </c>
      <c r="Q3" s="6">
        <f t="shared" ref="Q3:Q34" si="7">M3/$M$6</f>
        <v>0.88534482758620681</v>
      </c>
      <c r="R3" s="6">
        <f t="shared" ref="R3:R34" si="8">N3/$N$6</f>
        <v>0.8563829787234043</v>
      </c>
      <c r="S3" s="6">
        <f>O3/$O$6</f>
        <v>0.87063953488372081</v>
      </c>
    </row>
    <row r="4" spans="1:19" ht="15.75" x14ac:dyDescent="0.4">
      <c r="A4" s="1" t="s">
        <v>36</v>
      </c>
      <c r="B4" s="2">
        <v>0.10630000000000001</v>
      </c>
      <c r="C4" s="2">
        <v>0.1133</v>
      </c>
      <c r="D4" s="2">
        <v>0.1109</v>
      </c>
      <c r="E4" s="3">
        <f t="shared" si="2"/>
        <v>0.11016666666666668</v>
      </c>
      <c r="F4" s="6">
        <f t="shared" si="3"/>
        <v>0.87923904052936319</v>
      </c>
      <c r="G4" s="6">
        <f t="shared" si="4"/>
        <v>0.94574290484140233</v>
      </c>
      <c r="H4" s="6">
        <f t="shared" si="5"/>
        <v>0.92570951585976624</v>
      </c>
      <c r="I4" s="6">
        <f t="shared" si="0"/>
        <v>0.91551246537396125</v>
      </c>
      <c r="K4" s="1" t="s">
        <v>2</v>
      </c>
      <c r="L4" s="2">
        <v>0.1128</v>
      </c>
      <c r="M4" s="2">
        <v>0.1148</v>
      </c>
      <c r="N4" s="2">
        <v>0.1085</v>
      </c>
      <c r="O4" s="3">
        <f t="shared" si="6"/>
        <v>0.11203333333333333</v>
      </c>
      <c r="P4" s="6">
        <f t="shared" ref="P4:P34" si="9">L4/$L$6</f>
        <v>0.97916666666666663</v>
      </c>
      <c r="Q4" s="6">
        <f t="shared" si="7"/>
        <v>0.98965517241379308</v>
      </c>
      <c r="R4" s="6">
        <f t="shared" si="8"/>
        <v>0.96187943262411346</v>
      </c>
      <c r="S4" s="6">
        <f t="shared" si="1"/>
        <v>0.97703488372093006</v>
      </c>
    </row>
    <row r="5" spans="1:19" ht="15.75" x14ac:dyDescent="0.4">
      <c r="A5" s="1" t="s">
        <v>37</v>
      </c>
      <c r="B5" s="2">
        <v>0.11360000000000001</v>
      </c>
      <c r="C5" s="2">
        <v>0.1132</v>
      </c>
      <c r="D5" s="2">
        <v>0.11020000000000001</v>
      </c>
      <c r="E5" s="3">
        <f t="shared" si="2"/>
        <v>0.11233333333333334</v>
      </c>
      <c r="F5" s="6">
        <f t="shared" si="3"/>
        <v>0.93961952026468165</v>
      </c>
      <c r="G5" s="6">
        <f t="shared" si="4"/>
        <v>0.94490818030050072</v>
      </c>
      <c r="H5" s="6">
        <f t="shared" si="5"/>
        <v>0.91986644407345575</v>
      </c>
      <c r="I5" s="6">
        <f t="shared" si="0"/>
        <v>0.93351800554016628</v>
      </c>
      <c r="K5" s="1" t="s">
        <v>3</v>
      </c>
      <c r="L5" s="2">
        <v>0.1018</v>
      </c>
      <c r="M5" s="2">
        <v>0.1095</v>
      </c>
      <c r="N5" s="2">
        <v>0.1081</v>
      </c>
      <c r="O5" s="3">
        <f t="shared" si="6"/>
        <v>0.10646666666666667</v>
      </c>
      <c r="P5" s="6">
        <f t="shared" si="9"/>
        <v>0.88368055555555558</v>
      </c>
      <c r="Q5" s="6">
        <f t="shared" si="7"/>
        <v>0.94396551724137923</v>
      </c>
      <c r="R5" s="6">
        <f t="shared" si="8"/>
        <v>0.95833333333333337</v>
      </c>
      <c r="S5" s="6">
        <f t="shared" si="1"/>
        <v>0.92848837209302315</v>
      </c>
    </row>
    <row r="6" spans="1:19" ht="15.75" x14ac:dyDescent="0.4">
      <c r="A6" s="1" t="s">
        <v>38</v>
      </c>
      <c r="B6" s="2">
        <v>0.12089999999999999</v>
      </c>
      <c r="C6" s="2">
        <v>0.1203</v>
      </c>
      <c r="D6" s="2">
        <v>0.1198</v>
      </c>
      <c r="E6" s="3">
        <f t="shared" si="2"/>
        <v>0.12033333333333333</v>
      </c>
      <c r="F6" s="6">
        <f t="shared" si="3"/>
        <v>1</v>
      </c>
      <c r="G6" s="6">
        <f t="shared" si="4"/>
        <v>1.0041736227045075</v>
      </c>
      <c r="H6" s="6">
        <f t="shared" si="5"/>
        <v>1</v>
      </c>
      <c r="I6" s="6">
        <f t="shared" si="0"/>
        <v>1</v>
      </c>
      <c r="K6" s="1" t="s">
        <v>4</v>
      </c>
      <c r="L6" s="2">
        <v>0.1152</v>
      </c>
      <c r="M6" s="2">
        <v>0.11600000000000001</v>
      </c>
      <c r="N6" s="2">
        <v>0.1128</v>
      </c>
      <c r="O6" s="3">
        <f t="shared" si="6"/>
        <v>0.11466666666666668</v>
      </c>
      <c r="P6" s="6">
        <f t="shared" si="9"/>
        <v>1</v>
      </c>
      <c r="Q6" s="6">
        <f t="shared" si="7"/>
        <v>1</v>
      </c>
      <c r="R6" s="6">
        <f t="shared" si="8"/>
        <v>1</v>
      </c>
      <c r="S6" s="6">
        <f t="shared" si="1"/>
        <v>1</v>
      </c>
    </row>
    <row r="7" spans="1:19" ht="15.75" x14ac:dyDescent="0.4">
      <c r="A7" s="1" t="s">
        <v>5</v>
      </c>
      <c r="B7" s="2">
        <v>0.1145</v>
      </c>
      <c r="C7" s="2">
        <v>9.1300000000000006E-2</v>
      </c>
      <c r="D7" s="2">
        <v>0.1017</v>
      </c>
      <c r="E7" s="3">
        <f t="shared" si="2"/>
        <v>0.10249999999999999</v>
      </c>
      <c r="F7" s="6">
        <f t="shared" si="3"/>
        <v>0.94706368899917293</v>
      </c>
      <c r="G7" s="6">
        <f t="shared" si="4"/>
        <v>0.76210350584307185</v>
      </c>
      <c r="H7" s="6">
        <f t="shared" si="5"/>
        <v>0.84891485809682798</v>
      </c>
      <c r="I7" s="6">
        <f t="shared" si="0"/>
        <v>0.85180055401662047</v>
      </c>
      <c r="K7" s="1" t="s">
        <v>5</v>
      </c>
      <c r="L7" s="2">
        <v>9.7600000000000006E-2</v>
      </c>
      <c r="M7" s="2">
        <v>0.11609999999999999</v>
      </c>
      <c r="N7" s="2">
        <v>0.10979999999999999</v>
      </c>
      <c r="O7" s="3">
        <f t="shared" si="6"/>
        <v>0.10783333333333334</v>
      </c>
      <c r="P7" s="6">
        <f t="shared" si="9"/>
        <v>0.84722222222222232</v>
      </c>
      <c r="Q7" s="6">
        <f t="shared" si="7"/>
        <v>1.0008620689655172</v>
      </c>
      <c r="R7" s="6">
        <f t="shared" si="8"/>
        <v>0.97340425531914887</v>
      </c>
      <c r="S7" s="6">
        <f t="shared" si="1"/>
        <v>0.94040697674418594</v>
      </c>
    </row>
    <row r="8" spans="1:19" ht="15.75" x14ac:dyDescent="0.4">
      <c r="A8" s="1" t="s">
        <v>6</v>
      </c>
      <c r="B8" s="2">
        <v>0.1007</v>
      </c>
      <c r="C8" s="2">
        <v>0.11840000000000001</v>
      </c>
      <c r="D8" s="2">
        <v>0.111</v>
      </c>
      <c r="E8" s="3">
        <f t="shared" si="2"/>
        <v>0.11003333333333333</v>
      </c>
      <c r="F8" s="6">
        <f t="shared" si="3"/>
        <v>0.83291976840363935</v>
      </c>
      <c r="G8" s="6">
        <f t="shared" si="4"/>
        <v>0.98831385642737901</v>
      </c>
      <c r="H8" s="6">
        <f t="shared" si="5"/>
        <v>0.92654424040066774</v>
      </c>
      <c r="I8" s="6">
        <f t="shared" si="0"/>
        <v>0.91440443213296396</v>
      </c>
      <c r="K8" s="1" t="s">
        <v>6</v>
      </c>
      <c r="L8" s="2">
        <v>0.1196</v>
      </c>
      <c r="M8" s="2">
        <v>0.1186</v>
      </c>
      <c r="N8" s="2">
        <v>0.1182</v>
      </c>
      <c r="O8" s="3">
        <f t="shared" si="6"/>
        <v>0.1188</v>
      </c>
      <c r="P8" s="6">
        <f t="shared" si="9"/>
        <v>1.0381944444444444</v>
      </c>
      <c r="Q8" s="6">
        <f t="shared" si="7"/>
        <v>1.0224137931034483</v>
      </c>
      <c r="R8" s="6">
        <f t="shared" si="8"/>
        <v>1.0478723404255319</v>
      </c>
      <c r="S8" s="6">
        <f t="shared" si="1"/>
        <v>1.036046511627907</v>
      </c>
    </row>
    <row r="9" spans="1:19" ht="15.75" x14ac:dyDescent="0.4">
      <c r="A9" s="1" t="s">
        <v>7</v>
      </c>
      <c r="B9" s="2">
        <v>0.11840000000000001</v>
      </c>
      <c r="C9" s="2">
        <v>0.1138</v>
      </c>
      <c r="D9" s="2">
        <v>0.1196</v>
      </c>
      <c r="E9" s="3">
        <f t="shared" si="2"/>
        <v>0.11726666666666667</v>
      </c>
      <c r="F9" s="6">
        <f t="shared" si="3"/>
        <v>0.97932175351530204</v>
      </c>
      <c r="G9" s="6">
        <f t="shared" si="4"/>
        <v>0.94991652754590983</v>
      </c>
      <c r="H9" s="6">
        <f t="shared" si="5"/>
        <v>0.998330550918197</v>
      </c>
      <c r="I9" s="6">
        <f t="shared" si="0"/>
        <v>0.97451523545706376</v>
      </c>
      <c r="K9" s="1" t="s">
        <v>7</v>
      </c>
      <c r="L9" s="2">
        <v>0.12330000000000001</v>
      </c>
      <c r="M9" s="2">
        <v>0.12239999999999999</v>
      </c>
      <c r="N9" s="2">
        <v>0.1222</v>
      </c>
      <c r="O9" s="3">
        <f t="shared" si="6"/>
        <v>0.12263333333333333</v>
      </c>
      <c r="P9" s="6">
        <f t="shared" si="9"/>
        <v>1.0703125</v>
      </c>
      <c r="Q9" s="6">
        <f t="shared" si="7"/>
        <v>1.0551724137931033</v>
      </c>
      <c r="R9" s="6">
        <f t="shared" si="8"/>
        <v>1.0833333333333335</v>
      </c>
      <c r="S9" s="6">
        <f t="shared" si="1"/>
        <v>1.0694767441860464</v>
      </c>
    </row>
    <row r="10" spans="1:19" ht="15.75" x14ac:dyDescent="0.4">
      <c r="A10" s="1" t="s">
        <v>8</v>
      </c>
      <c r="B10" s="2">
        <v>0.1171</v>
      </c>
      <c r="C10" s="2">
        <v>0.1144</v>
      </c>
      <c r="D10" s="2">
        <v>0.1129</v>
      </c>
      <c r="E10" s="3">
        <f t="shared" si="2"/>
        <v>0.1148</v>
      </c>
      <c r="F10" s="6">
        <f t="shared" si="3"/>
        <v>0.96856906534325893</v>
      </c>
      <c r="G10" s="6">
        <f t="shared" si="4"/>
        <v>0.95492487479131882</v>
      </c>
      <c r="H10" s="6">
        <f t="shared" si="5"/>
        <v>0.94240400667779634</v>
      </c>
      <c r="I10" s="6">
        <f t="shared" si="0"/>
        <v>0.95401662049861491</v>
      </c>
      <c r="K10" s="1" t="s">
        <v>8</v>
      </c>
      <c r="L10" s="2">
        <v>0.1348</v>
      </c>
      <c r="M10" s="2">
        <v>0.12870000000000001</v>
      </c>
      <c r="N10" s="2">
        <v>0.1211</v>
      </c>
      <c r="O10" s="3">
        <f t="shared" si="6"/>
        <v>0.12820000000000001</v>
      </c>
      <c r="P10" s="6">
        <f t="shared" si="9"/>
        <v>1.1701388888888888</v>
      </c>
      <c r="Q10" s="6">
        <f t="shared" si="7"/>
        <v>1.1094827586206897</v>
      </c>
      <c r="R10" s="6">
        <f t="shared" si="8"/>
        <v>1.073581560283688</v>
      </c>
      <c r="S10" s="6">
        <f t="shared" si="1"/>
        <v>1.1180232558139533</v>
      </c>
    </row>
    <row r="11" spans="1:19" ht="15.75" x14ac:dyDescent="0.4">
      <c r="A11" s="1" t="s">
        <v>9</v>
      </c>
      <c r="B11" s="2">
        <v>0.1143</v>
      </c>
      <c r="C11" s="2">
        <v>0.1119</v>
      </c>
      <c r="D11" s="2">
        <v>0.11749999999999999</v>
      </c>
      <c r="E11" s="3">
        <f t="shared" si="2"/>
        <v>0.11456666666666666</v>
      </c>
      <c r="F11" s="6">
        <f t="shared" si="3"/>
        <v>0.94540942928039706</v>
      </c>
      <c r="G11" s="6">
        <f t="shared" si="4"/>
        <v>0.93405676126878123</v>
      </c>
      <c r="H11" s="6">
        <f t="shared" si="5"/>
        <v>0.98080133555926541</v>
      </c>
      <c r="I11" s="6">
        <f t="shared" si="0"/>
        <v>0.9520775623268698</v>
      </c>
      <c r="K11" s="1" t="s">
        <v>9</v>
      </c>
      <c r="L11" s="2">
        <v>0.1255</v>
      </c>
      <c r="M11" s="2">
        <v>0.122</v>
      </c>
      <c r="N11" s="2">
        <v>0.1232</v>
      </c>
      <c r="O11" s="3">
        <f t="shared" si="6"/>
        <v>0.12356666666666667</v>
      </c>
      <c r="P11" s="6">
        <f t="shared" si="9"/>
        <v>1.0894097222222223</v>
      </c>
      <c r="Q11" s="6">
        <f t="shared" si="7"/>
        <v>1.0517241379310345</v>
      </c>
      <c r="R11" s="6">
        <f t="shared" si="8"/>
        <v>1.0921985815602837</v>
      </c>
      <c r="S11" s="6">
        <f t="shared" si="1"/>
        <v>1.0776162790697674</v>
      </c>
    </row>
    <row r="12" spans="1:19" ht="15.75" x14ac:dyDescent="0.4">
      <c r="A12" s="1" t="s">
        <v>10</v>
      </c>
      <c r="B12" s="2">
        <v>0.1167</v>
      </c>
      <c r="C12" s="2">
        <v>0.1177</v>
      </c>
      <c r="D12" s="2">
        <v>0.11550000000000001</v>
      </c>
      <c r="E12" s="3">
        <f t="shared" si="2"/>
        <v>0.11663333333333332</v>
      </c>
      <c r="F12" s="6">
        <f t="shared" si="3"/>
        <v>0.9652605459057072</v>
      </c>
      <c r="G12" s="6">
        <f t="shared" si="4"/>
        <v>0.98247078464106841</v>
      </c>
      <c r="H12" s="6">
        <f t="shared" si="5"/>
        <v>0.96410684474123542</v>
      </c>
      <c r="I12" s="6">
        <f t="shared" si="0"/>
        <v>0.96925207756232679</v>
      </c>
      <c r="K12" s="1" t="s">
        <v>10</v>
      </c>
      <c r="L12" s="2">
        <v>0.1038</v>
      </c>
      <c r="M12" s="2">
        <v>0.12870000000000001</v>
      </c>
      <c r="N12" s="2">
        <v>0.12</v>
      </c>
      <c r="O12" s="3">
        <f t="shared" si="6"/>
        <v>0.11750000000000001</v>
      </c>
      <c r="P12" s="6">
        <f t="shared" si="9"/>
        <v>0.90104166666666674</v>
      </c>
      <c r="Q12" s="6">
        <f t="shared" si="7"/>
        <v>1.1094827586206897</v>
      </c>
      <c r="R12" s="6">
        <f t="shared" si="8"/>
        <v>1.0638297872340425</v>
      </c>
      <c r="S12" s="6">
        <f t="shared" si="1"/>
        <v>1.0247093023255813</v>
      </c>
    </row>
    <row r="13" spans="1:19" ht="15.75" x14ac:dyDescent="0.4">
      <c r="A13" s="1" t="s">
        <v>11</v>
      </c>
      <c r="B13" s="2">
        <v>0.12470000000000001</v>
      </c>
      <c r="C13" s="2">
        <v>0.12509999999999999</v>
      </c>
      <c r="D13" s="2">
        <v>0.1227</v>
      </c>
      <c r="E13" s="3">
        <f t="shared" si="2"/>
        <v>0.12416666666666666</v>
      </c>
      <c r="F13" s="6">
        <f t="shared" si="3"/>
        <v>1.0314309346567412</v>
      </c>
      <c r="G13" s="6">
        <f t="shared" si="4"/>
        <v>1.0442404006677795</v>
      </c>
      <c r="H13" s="6">
        <f t="shared" si="5"/>
        <v>1.0242070116861435</v>
      </c>
      <c r="I13" s="6">
        <f t="shared" si="0"/>
        <v>1.0318559556786704</v>
      </c>
      <c r="K13" s="1" t="s">
        <v>11</v>
      </c>
      <c r="L13" s="2">
        <v>0.12509999999999999</v>
      </c>
      <c r="M13" s="2">
        <v>0.1295</v>
      </c>
      <c r="N13" s="2">
        <v>0.11210000000000001</v>
      </c>
      <c r="O13" s="3">
        <f t="shared" si="6"/>
        <v>0.12223333333333335</v>
      </c>
      <c r="P13" s="6">
        <f t="shared" si="9"/>
        <v>1.0859375</v>
      </c>
      <c r="Q13" s="6">
        <f t="shared" si="7"/>
        <v>1.1163793103448276</v>
      </c>
      <c r="R13" s="6">
        <f t="shared" si="8"/>
        <v>0.99379432624113484</v>
      </c>
      <c r="S13" s="6">
        <f t="shared" si="1"/>
        <v>1.0659883720930232</v>
      </c>
    </row>
    <row r="14" spans="1:19" ht="15.75" x14ac:dyDescent="0.4">
      <c r="A14" s="1" t="s">
        <v>12</v>
      </c>
      <c r="B14" s="2">
        <v>0.1101</v>
      </c>
      <c r="C14" s="2">
        <v>9.2600000000000002E-2</v>
      </c>
      <c r="D14" s="2">
        <v>9.3299999999999994E-2</v>
      </c>
      <c r="E14" s="3">
        <f t="shared" si="2"/>
        <v>9.8666666666666666E-2</v>
      </c>
      <c r="F14" s="6">
        <f t="shared" si="3"/>
        <v>0.91066997518610426</v>
      </c>
      <c r="G14" s="6">
        <f t="shared" si="4"/>
        <v>0.77295492487479134</v>
      </c>
      <c r="H14" s="6">
        <f t="shared" si="5"/>
        <v>0.77879799666110172</v>
      </c>
      <c r="I14" s="6">
        <f t="shared" si="0"/>
        <v>0.81994459833795008</v>
      </c>
      <c r="K14" s="1" t="s">
        <v>12</v>
      </c>
      <c r="L14" s="2">
        <v>9.3799999999999994E-2</v>
      </c>
      <c r="M14" s="2">
        <v>0.1118</v>
      </c>
      <c r="N14" s="2">
        <v>0.10009999999999999</v>
      </c>
      <c r="O14" s="3">
        <f t="shared" si="6"/>
        <v>0.10189999999999999</v>
      </c>
      <c r="P14" s="6">
        <f t="shared" si="9"/>
        <v>0.81423611111111105</v>
      </c>
      <c r="Q14" s="6">
        <f t="shared" si="7"/>
        <v>0.96379310344827573</v>
      </c>
      <c r="R14" s="6">
        <f t="shared" si="8"/>
        <v>0.88741134751773043</v>
      </c>
      <c r="S14" s="6">
        <f t="shared" si="1"/>
        <v>0.88866279069767418</v>
      </c>
    </row>
    <row r="15" spans="1:19" ht="15.75" x14ac:dyDescent="0.4">
      <c r="A15" s="1" t="s">
        <v>13</v>
      </c>
      <c r="B15" s="2">
        <v>9.9699999999999997E-2</v>
      </c>
      <c r="C15" s="2">
        <v>8.77E-2</v>
      </c>
      <c r="D15" s="2">
        <v>0.10979999999999999</v>
      </c>
      <c r="E15" s="3">
        <f t="shared" si="2"/>
        <v>9.9066666666666678E-2</v>
      </c>
      <c r="F15" s="6">
        <f t="shared" si="3"/>
        <v>0.82464846980976014</v>
      </c>
      <c r="G15" s="6">
        <f t="shared" si="4"/>
        <v>0.73205342237061766</v>
      </c>
      <c r="H15" s="6">
        <f t="shared" si="5"/>
        <v>0.91652754590984964</v>
      </c>
      <c r="I15" s="6">
        <f t="shared" si="0"/>
        <v>0.82326869806094194</v>
      </c>
      <c r="K15" s="1" t="s">
        <v>13</v>
      </c>
      <c r="L15" s="2">
        <v>9.3299999999999994E-2</v>
      </c>
      <c r="M15" s="2">
        <v>0.1138</v>
      </c>
      <c r="N15" s="2">
        <v>8.3900000000000002E-2</v>
      </c>
      <c r="O15" s="3">
        <f t="shared" si="6"/>
        <v>9.7000000000000017E-2</v>
      </c>
      <c r="P15" s="6">
        <f t="shared" si="9"/>
        <v>0.80989583333333326</v>
      </c>
      <c r="Q15" s="6">
        <f t="shared" si="7"/>
        <v>0.9810344827586206</v>
      </c>
      <c r="R15" s="6">
        <f t="shared" si="8"/>
        <v>0.74379432624113484</v>
      </c>
      <c r="S15" s="6">
        <f t="shared" si="1"/>
        <v>0.84593023255813959</v>
      </c>
    </row>
    <row r="16" spans="1:19" ht="15.75" x14ac:dyDescent="0.4">
      <c r="A16" s="1" t="s">
        <v>14</v>
      </c>
      <c r="B16" s="2">
        <v>0.1011</v>
      </c>
      <c r="C16" s="2">
        <v>0.1061</v>
      </c>
      <c r="D16" s="2">
        <v>0.1101</v>
      </c>
      <c r="E16" s="3">
        <f t="shared" si="2"/>
        <v>0.10576666666666668</v>
      </c>
      <c r="F16" s="6">
        <f t="shared" si="3"/>
        <v>0.83622828784119108</v>
      </c>
      <c r="G16" s="6">
        <f t="shared" si="4"/>
        <v>0.88564273789649417</v>
      </c>
      <c r="H16" s="6">
        <f t="shared" si="5"/>
        <v>0.91903171953255425</v>
      </c>
      <c r="I16" s="6">
        <f t="shared" si="0"/>
        <v>0.8789473684210527</v>
      </c>
      <c r="K16" s="1" t="s">
        <v>14</v>
      </c>
      <c r="L16" s="2">
        <v>0.109</v>
      </c>
      <c r="M16" s="2">
        <v>0.1148</v>
      </c>
      <c r="N16" s="2">
        <v>0.1137</v>
      </c>
      <c r="O16" s="3">
        <f t="shared" si="6"/>
        <v>0.1125</v>
      </c>
      <c r="P16" s="6">
        <f t="shared" si="9"/>
        <v>0.94618055555555558</v>
      </c>
      <c r="Q16" s="6">
        <f t="shared" si="7"/>
        <v>0.98965517241379308</v>
      </c>
      <c r="R16" s="6">
        <f t="shared" si="8"/>
        <v>1.0079787234042552</v>
      </c>
      <c r="S16" s="6">
        <f t="shared" si="1"/>
        <v>0.98110465116279055</v>
      </c>
    </row>
    <row r="17" spans="1:19" ht="15.75" x14ac:dyDescent="0.4">
      <c r="A17" s="1" t="s">
        <v>15</v>
      </c>
      <c r="B17" s="2">
        <v>0.10589999999999999</v>
      </c>
      <c r="C17" s="2">
        <v>0.10580000000000001</v>
      </c>
      <c r="D17" s="2">
        <v>0.1037</v>
      </c>
      <c r="E17" s="3">
        <f t="shared" si="2"/>
        <v>0.10513333333333334</v>
      </c>
      <c r="F17" s="6">
        <f t="shared" si="3"/>
        <v>0.87593052109181146</v>
      </c>
      <c r="G17" s="6">
        <f t="shared" si="4"/>
        <v>0.88313856427378967</v>
      </c>
      <c r="H17" s="6">
        <f t="shared" si="5"/>
        <v>0.86560934891485808</v>
      </c>
      <c r="I17" s="6">
        <f t="shared" si="0"/>
        <v>0.87368421052631584</v>
      </c>
      <c r="K17" s="1" t="s">
        <v>15</v>
      </c>
      <c r="L17" s="2">
        <v>0.1133</v>
      </c>
      <c r="M17" s="2">
        <v>0.1129</v>
      </c>
      <c r="N17" s="2">
        <v>0.10290000000000001</v>
      </c>
      <c r="O17" s="3">
        <f t="shared" si="6"/>
        <v>0.10970000000000001</v>
      </c>
      <c r="P17" s="6">
        <f t="shared" si="9"/>
        <v>0.98350694444444442</v>
      </c>
      <c r="Q17" s="6">
        <f t="shared" si="7"/>
        <v>0.97327586206896544</v>
      </c>
      <c r="R17" s="6">
        <f t="shared" si="8"/>
        <v>0.91223404255319152</v>
      </c>
      <c r="S17" s="6">
        <f t="shared" si="1"/>
        <v>0.95668604651162781</v>
      </c>
    </row>
    <row r="18" spans="1:19" ht="15.75" x14ac:dyDescent="0.4">
      <c r="A18" s="1" t="s">
        <v>16</v>
      </c>
      <c r="B18" s="2">
        <v>0.12239999999999999</v>
      </c>
      <c r="C18" s="2">
        <v>0.11940000000000001</v>
      </c>
      <c r="D18" s="2">
        <v>0.1133</v>
      </c>
      <c r="E18" s="3">
        <f t="shared" si="2"/>
        <v>0.11836666666666668</v>
      </c>
      <c r="F18" s="6">
        <f t="shared" si="3"/>
        <v>1.0124069478908189</v>
      </c>
      <c r="G18" s="6">
        <f t="shared" si="4"/>
        <v>0.996661101836394</v>
      </c>
      <c r="H18" s="6">
        <f t="shared" si="5"/>
        <v>0.94574290484140233</v>
      </c>
      <c r="I18" s="6">
        <f t="shared" si="0"/>
        <v>0.98365650969529095</v>
      </c>
      <c r="K18" s="1" t="s">
        <v>16</v>
      </c>
      <c r="L18" s="2">
        <v>0.1148</v>
      </c>
      <c r="M18" s="2">
        <v>0.11550000000000001</v>
      </c>
      <c r="N18" s="2">
        <v>0.11650000000000001</v>
      </c>
      <c r="O18" s="3">
        <f t="shared" si="6"/>
        <v>0.11559999999999999</v>
      </c>
      <c r="P18" s="6">
        <f t="shared" si="9"/>
        <v>0.99652777777777779</v>
      </c>
      <c r="Q18" s="6">
        <f t="shared" si="7"/>
        <v>0.99568965517241381</v>
      </c>
      <c r="R18" s="6">
        <f t="shared" si="8"/>
        <v>1.0328014184397163</v>
      </c>
      <c r="S18" s="6">
        <f t="shared" si="1"/>
        <v>1.0081395348837208</v>
      </c>
    </row>
    <row r="19" spans="1:19" ht="15.75" x14ac:dyDescent="0.4">
      <c r="A19" s="1" t="s">
        <v>17</v>
      </c>
      <c r="B19" s="2">
        <v>0.1205</v>
      </c>
      <c r="C19" s="2">
        <v>0.11609999999999999</v>
      </c>
      <c r="D19" s="2">
        <v>0.11990000000000001</v>
      </c>
      <c r="E19" s="3">
        <f t="shared" si="2"/>
        <v>0.11883333333333333</v>
      </c>
      <c r="F19" s="6">
        <f t="shared" si="3"/>
        <v>0.99669148056244827</v>
      </c>
      <c r="G19" s="6">
        <f t="shared" si="4"/>
        <v>0.96911519198664431</v>
      </c>
      <c r="H19" s="6">
        <f t="shared" si="5"/>
        <v>1.0008347245409015</v>
      </c>
      <c r="I19" s="6">
        <f t="shared" si="0"/>
        <v>0.98753462603878117</v>
      </c>
      <c r="K19" s="1" t="s">
        <v>17</v>
      </c>
      <c r="L19" s="2">
        <v>0.107</v>
      </c>
      <c r="M19" s="2">
        <v>0.1179</v>
      </c>
      <c r="N19" s="2">
        <v>0.1148</v>
      </c>
      <c r="O19" s="3">
        <f t="shared" si="6"/>
        <v>0.11323333333333334</v>
      </c>
      <c r="P19" s="6">
        <f t="shared" si="9"/>
        <v>0.92881944444444442</v>
      </c>
      <c r="Q19" s="6">
        <f t="shared" si="7"/>
        <v>1.0163793103448275</v>
      </c>
      <c r="R19" s="6">
        <f t="shared" si="8"/>
        <v>1.0177304964539007</v>
      </c>
      <c r="S19" s="6">
        <f t="shared" si="1"/>
        <v>0.98749999999999993</v>
      </c>
    </row>
    <row r="20" spans="1:19" ht="15.75" x14ac:dyDescent="0.4">
      <c r="A20" s="1" t="s">
        <v>18</v>
      </c>
      <c r="B20" s="2">
        <v>0.1231</v>
      </c>
      <c r="C20" s="2">
        <v>0.124</v>
      </c>
      <c r="D20" s="2">
        <v>0.12379999999999999</v>
      </c>
      <c r="E20" s="3">
        <f t="shared" si="2"/>
        <v>0.12363333333333333</v>
      </c>
      <c r="F20" s="6">
        <f t="shared" si="3"/>
        <v>1.0181968569065345</v>
      </c>
      <c r="G20" s="6">
        <f t="shared" si="4"/>
        <v>1.035058430717863</v>
      </c>
      <c r="H20" s="6">
        <f t="shared" si="5"/>
        <v>1.03338898163606</v>
      </c>
      <c r="I20" s="6">
        <f t="shared" si="0"/>
        <v>1.0274238227146815</v>
      </c>
      <c r="K20" s="1" t="s">
        <v>18</v>
      </c>
      <c r="L20" s="2">
        <v>0.11849999999999999</v>
      </c>
      <c r="M20" s="2">
        <v>0.1221</v>
      </c>
      <c r="N20" s="2">
        <v>0.1246</v>
      </c>
      <c r="O20" s="3">
        <f t="shared" si="6"/>
        <v>0.12173333333333332</v>
      </c>
      <c r="P20" s="6">
        <f t="shared" si="9"/>
        <v>1.0286458333333333</v>
      </c>
      <c r="Q20" s="6">
        <f t="shared" si="7"/>
        <v>1.0525862068965517</v>
      </c>
      <c r="R20" s="6">
        <f t="shared" si="8"/>
        <v>1.1046099290780143</v>
      </c>
      <c r="S20" s="6">
        <f t="shared" si="1"/>
        <v>1.061627906976744</v>
      </c>
    </row>
    <row r="21" spans="1:19" ht="15.75" x14ac:dyDescent="0.4">
      <c r="A21" s="1" t="s">
        <v>19</v>
      </c>
      <c r="B21" s="2">
        <v>0.1153</v>
      </c>
      <c r="C21" s="2">
        <v>0.11899999999999999</v>
      </c>
      <c r="D21" s="2">
        <v>0.11899999999999999</v>
      </c>
      <c r="E21" s="3">
        <f t="shared" si="2"/>
        <v>0.11776666666666667</v>
      </c>
      <c r="F21" s="6">
        <f t="shared" si="3"/>
        <v>0.95368072787427627</v>
      </c>
      <c r="G21" s="6">
        <f t="shared" si="4"/>
        <v>0.9933222036727879</v>
      </c>
      <c r="H21" s="6">
        <f t="shared" si="5"/>
        <v>0.9933222036727879</v>
      </c>
      <c r="I21" s="6">
        <f t="shared" si="0"/>
        <v>0.97867036011080333</v>
      </c>
      <c r="K21" s="1" t="s">
        <v>19</v>
      </c>
      <c r="L21" s="2">
        <v>0.11890000000000001</v>
      </c>
      <c r="M21" s="2">
        <v>0.1208</v>
      </c>
      <c r="N21" s="2">
        <v>0.12529999999999999</v>
      </c>
      <c r="O21" s="3">
        <f t="shared" si="6"/>
        <v>0.12166666666666666</v>
      </c>
      <c r="P21" s="6">
        <f t="shared" si="9"/>
        <v>1.0321180555555556</v>
      </c>
      <c r="Q21" s="6">
        <f t="shared" si="7"/>
        <v>1.0413793103448277</v>
      </c>
      <c r="R21" s="6">
        <f t="shared" si="8"/>
        <v>1.1108156028368794</v>
      </c>
      <c r="S21" s="6">
        <f t="shared" si="1"/>
        <v>1.0610465116279069</v>
      </c>
    </row>
    <row r="22" spans="1:19" ht="15.75" x14ac:dyDescent="0.4">
      <c r="A22" s="1" t="s">
        <v>20</v>
      </c>
      <c r="B22" s="2">
        <v>0.1158</v>
      </c>
      <c r="C22" s="2">
        <v>0.1142</v>
      </c>
      <c r="D22" s="2">
        <v>0.11650000000000001</v>
      </c>
      <c r="E22" s="3">
        <f t="shared" si="2"/>
        <v>0.11549999999999999</v>
      </c>
      <c r="F22" s="6">
        <f t="shared" si="3"/>
        <v>0.95781637717121593</v>
      </c>
      <c r="G22" s="6">
        <f t="shared" si="4"/>
        <v>0.95325542570951582</v>
      </c>
      <c r="H22" s="6">
        <f t="shared" si="5"/>
        <v>0.97245409015025042</v>
      </c>
      <c r="I22" s="6">
        <f t="shared" si="0"/>
        <v>0.95983379501385035</v>
      </c>
      <c r="K22" s="1" t="s">
        <v>20</v>
      </c>
      <c r="L22" s="2">
        <v>0.11890000000000001</v>
      </c>
      <c r="M22" s="2">
        <v>0.1181</v>
      </c>
      <c r="N22" s="2">
        <v>0.12039999999999999</v>
      </c>
      <c r="O22" s="3">
        <f t="shared" si="6"/>
        <v>0.11913333333333333</v>
      </c>
      <c r="P22" s="6">
        <f t="shared" si="9"/>
        <v>1.0321180555555556</v>
      </c>
      <c r="Q22" s="6">
        <f t="shared" si="7"/>
        <v>1.018103448275862</v>
      </c>
      <c r="R22" s="6">
        <f t="shared" si="8"/>
        <v>1.0673758865248226</v>
      </c>
      <c r="S22" s="6">
        <f t="shared" si="1"/>
        <v>1.0389534883720928</v>
      </c>
    </row>
    <row r="23" spans="1:19" ht="15.75" x14ac:dyDescent="0.4">
      <c r="A23" s="1" t="s">
        <v>21</v>
      </c>
      <c r="B23" s="2">
        <v>0.11600000000000001</v>
      </c>
      <c r="C23" s="2">
        <v>0.1159</v>
      </c>
      <c r="D23" s="2">
        <v>0.112</v>
      </c>
      <c r="E23" s="3">
        <f t="shared" si="2"/>
        <v>0.11463333333333332</v>
      </c>
      <c r="F23" s="6">
        <f t="shared" si="3"/>
        <v>0.95947063688999179</v>
      </c>
      <c r="G23" s="6">
        <f t="shared" si="4"/>
        <v>0.96744574290484142</v>
      </c>
      <c r="H23" s="6">
        <f t="shared" si="5"/>
        <v>0.93489148580968284</v>
      </c>
      <c r="I23" s="6">
        <f t="shared" si="0"/>
        <v>0.95263157894736838</v>
      </c>
      <c r="K23" s="1" t="s">
        <v>21</v>
      </c>
      <c r="L23" s="2">
        <v>0.1242</v>
      </c>
      <c r="M23" s="2">
        <v>0.123</v>
      </c>
      <c r="N23" s="2">
        <v>0.121</v>
      </c>
      <c r="O23" s="3">
        <f t="shared" si="6"/>
        <v>0.12273333333333332</v>
      </c>
      <c r="P23" s="6">
        <f t="shared" si="9"/>
        <v>1.078125</v>
      </c>
      <c r="Q23" s="6">
        <f t="shared" si="7"/>
        <v>1.0603448275862069</v>
      </c>
      <c r="R23" s="6">
        <f t="shared" si="8"/>
        <v>1.072695035460993</v>
      </c>
      <c r="S23" s="6">
        <f t="shared" si="1"/>
        <v>1.070348837209302</v>
      </c>
    </row>
    <row r="24" spans="1:19" ht="15.75" x14ac:dyDescent="0.4">
      <c r="A24" s="1" t="s">
        <v>22</v>
      </c>
      <c r="B24" s="2">
        <v>0.1145</v>
      </c>
      <c r="C24" s="2">
        <v>0.1159</v>
      </c>
      <c r="D24" s="2">
        <v>0.11269999999999999</v>
      </c>
      <c r="E24" s="3">
        <f t="shared" si="2"/>
        <v>0.11436666666666666</v>
      </c>
      <c r="F24" s="6">
        <f t="shared" si="3"/>
        <v>0.94706368899917293</v>
      </c>
      <c r="G24" s="6">
        <f t="shared" si="4"/>
        <v>0.96744574290484142</v>
      </c>
      <c r="H24" s="6">
        <f t="shared" si="5"/>
        <v>0.94073455759599323</v>
      </c>
      <c r="I24" s="6">
        <f t="shared" si="0"/>
        <v>0.95041551246537392</v>
      </c>
      <c r="K24" s="1" t="s">
        <v>22</v>
      </c>
      <c r="L24" s="2">
        <v>0.12239999999999999</v>
      </c>
      <c r="M24" s="2">
        <v>0.1198</v>
      </c>
      <c r="N24" s="2">
        <v>0.1094</v>
      </c>
      <c r="O24" s="3">
        <f t="shared" si="6"/>
        <v>0.11720000000000001</v>
      </c>
      <c r="P24" s="6">
        <f t="shared" si="9"/>
        <v>1.0625</v>
      </c>
      <c r="Q24" s="6">
        <f t="shared" si="7"/>
        <v>1.0327586206896551</v>
      </c>
      <c r="R24" s="6">
        <f t="shared" si="8"/>
        <v>0.96985815602836878</v>
      </c>
      <c r="S24" s="6">
        <f t="shared" si="1"/>
        <v>1.0220930232558139</v>
      </c>
    </row>
    <row r="25" spans="1:19" ht="15.75" x14ac:dyDescent="0.4">
      <c r="A25" s="1" t="s">
        <v>23</v>
      </c>
      <c r="B25" s="2">
        <v>0.11650000000000001</v>
      </c>
      <c r="C25" s="2">
        <v>0.11600000000000001</v>
      </c>
      <c r="D25" s="2">
        <v>0.11260000000000001</v>
      </c>
      <c r="E25" s="3">
        <f t="shared" si="2"/>
        <v>0.11503333333333333</v>
      </c>
      <c r="F25" s="6">
        <f t="shared" si="3"/>
        <v>0.96360628618693145</v>
      </c>
      <c r="G25" s="6">
        <f t="shared" si="4"/>
        <v>0.96828046744574292</v>
      </c>
      <c r="H25" s="6">
        <f t="shared" si="5"/>
        <v>0.93989983305509184</v>
      </c>
      <c r="I25" s="6">
        <f t="shared" si="0"/>
        <v>0.95595567867036013</v>
      </c>
      <c r="K25" s="1" t="s">
        <v>23</v>
      </c>
      <c r="L25" s="2">
        <v>0.1169</v>
      </c>
      <c r="M25" s="2">
        <v>0.1145</v>
      </c>
      <c r="N25" s="2">
        <v>0.10539999999999999</v>
      </c>
      <c r="O25" s="3">
        <f t="shared" si="6"/>
        <v>0.11226666666666667</v>
      </c>
      <c r="P25" s="6">
        <f t="shared" si="9"/>
        <v>1.0147569444444444</v>
      </c>
      <c r="Q25" s="6">
        <f t="shared" si="7"/>
        <v>0.98706896551724133</v>
      </c>
      <c r="R25" s="6">
        <f t="shared" si="8"/>
        <v>0.93439716312056731</v>
      </c>
      <c r="S25" s="6">
        <f t="shared" si="1"/>
        <v>0.97906976744186036</v>
      </c>
    </row>
    <row r="26" spans="1:19" ht="15.75" x14ac:dyDescent="0.4">
      <c r="A26" s="1" t="s">
        <v>24</v>
      </c>
      <c r="B26" s="2">
        <v>9.7000000000000003E-2</v>
      </c>
      <c r="C26" s="2">
        <v>9.6199999999999994E-2</v>
      </c>
      <c r="D26" s="2">
        <v>0.1002</v>
      </c>
      <c r="E26" s="3">
        <f t="shared" si="2"/>
        <v>9.7799999999999998E-2</v>
      </c>
      <c r="F26" s="6">
        <f t="shared" si="3"/>
        <v>0.80231596360628621</v>
      </c>
      <c r="G26" s="6">
        <f t="shared" si="4"/>
        <v>0.80300500834724531</v>
      </c>
      <c r="H26" s="6">
        <f t="shared" si="5"/>
        <v>0.8363939899833055</v>
      </c>
      <c r="I26" s="6">
        <f t="shared" si="0"/>
        <v>0.81274238227146811</v>
      </c>
      <c r="K26" s="1" t="s">
        <v>24</v>
      </c>
      <c r="L26" s="2">
        <v>0.1178</v>
      </c>
      <c r="M26" s="2">
        <v>0.1033</v>
      </c>
      <c r="N26" s="2">
        <v>0.1089</v>
      </c>
      <c r="O26" s="3">
        <f t="shared" si="6"/>
        <v>0.11</v>
      </c>
      <c r="P26" s="6">
        <f t="shared" si="9"/>
        <v>1.0225694444444444</v>
      </c>
      <c r="Q26" s="6">
        <f t="shared" si="7"/>
        <v>0.89051724137931032</v>
      </c>
      <c r="R26" s="6">
        <f t="shared" si="8"/>
        <v>0.96542553191489366</v>
      </c>
      <c r="S26" s="6">
        <f t="shared" si="1"/>
        <v>0.95930232558139528</v>
      </c>
    </row>
    <row r="27" spans="1:19" ht="15.75" x14ac:dyDescent="0.4">
      <c r="A27" s="1" t="s">
        <v>25</v>
      </c>
      <c r="B27" s="2">
        <v>0.1052</v>
      </c>
      <c r="C27" s="2">
        <v>7.2900000000000006E-2</v>
      </c>
      <c r="D27" s="2">
        <v>0.1002</v>
      </c>
      <c r="E27" s="3">
        <f t="shared" si="2"/>
        <v>9.2766666666666664E-2</v>
      </c>
      <c r="F27" s="6">
        <f t="shared" si="3"/>
        <v>0.87014061207609605</v>
      </c>
      <c r="G27" s="6">
        <f t="shared" si="4"/>
        <v>0.60851419031719534</v>
      </c>
      <c r="H27" s="6">
        <f t="shared" si="5"/>
        <v>0.8363939899833055</v>
      </c>
      <c r="I27" s="6">
        <f t="shared" si="0"/>
        <v>0.7709141274238227</v>
      </c>
      <c r="K27" s="1" t="s">
        <v>25</v>
      </c>
      <c r="L27" s="2">
        <v>0.11600000000000001</v>
      </c>
      <c r="M27" s="2">
        <v>9.5299999999999996E-2</v>
      </c>
      <c r="N27" s="2">
        <v>0.1149</v>
      </c>
      <c r="O27" s="3">
        <f t="shared" si="6"/>
        <v>0.10873333333333333</v>
      </c>
      <c r="P27" s="6">
        <f t="shared" si="9"/>
        <v>1.0069444444444444</v>
      </c>
      <c r="Q27" s="6">
        <f t="shared" si="7"/>
        <v>0.82155172413793098</v>
      </c>
      <c r="R27" s="6">
        <f t="shared" si="8"/>
        <v>1.0186170212765957</v>
      </c>
      <c r="S27" s="6">
        <f t="shared" si="1"/>
        <v>0.94825581395348824</v>
      </c>
    </row>
    <row r="28" spans="1:19" ht="15.75" x14ac:dyDescent="0.4">
      <c r="A28" s="1" t="s">
        <v>26</v>
      </c>
      <c r="B28" s="2">
        <v>0.1053</v>
      </c>
      <c r="C28" s="2">
        <v>7.4099999999999999E-2</v>
      </c>
      <c r="D28" s="2">
        <v>0.1079</v>
      </c>
      <c r="E28" s="3">
        <f t="shared" si="2"/>
        <v>9.5766666666666667E-2</v>
      </c>
      <c r="F28" s="6">
        <f t="shared" si="3"/>
        <v>0.87096774193548399</v>
      </c>
      <c r="G28" s="6">
        <f t="shared" si="4"/>
        <v>0.61853088480801333</v>
      </c>
      <c r="H28" s="6">
        <f t="shared" si="5"/>
        <v>0.90066777963272115</v>
      </c>
      <c r="I28" s="6">
        <f t="shared" si="0"/>
        <v>0.79584487534626036</v>
      </c>
      <c r="K28" s="1" t="s">
        <v>26</v>
      </c>
      <c r="L28" s="2">
        <v>0.1061</v>
      </c>
      <c r="M28" s="2">
        <v>0.1047</v>
      </c>
      <c r="N28" s="2">
        <v>0.1147</v>
      </c>
      <c r="O28" s="3">
        <f t="shared" si="6"/>
        <v>0.1085</v>
      </c>
      <c r="P28" s="6">
        <f t="shared" si="9"/>
        <v>0.92100694444444442</v>
      </c>
      <c r="Q28" s="6">
        <f t="shared" si="7"/>
        <v>0.90258620689655167</v>
      </c>
      <c r="R28" s="6">
        <f t="shared" si="8"/>
        <v>1.0168439716312057</v>
      </c>
      <c r="S28" s="6">
        <f t="shared" si="1"/>
        <v>0.94622093023255804</v>
      </c>
    </row>
    <row r="29" spans="1:19" ht="15.75" x14ac:dyDescent="0.4">
      <c r="A29" s="1" t="s">
        <v>27</v>
      </c>
      <c r="B29" s="2">
        <v>0.1173</v>
      </c>
      <c r="C29" s="2">
        <v>0.1183</v>
      </c>
      <c r="D29" s="2">
        <v>0.1173</v>
      </c>
      <c r="E29" s="3">
        <f t="shared" si="2"/>
        <v>0.11763333333333333</v>
      </c>
      <c r="F29" s="6">
        <f t="shared" si="3"/>
        <v>0.97022332506203479</v>
      </c>
      <c r="G29" s="6">
        <f t="shared" si="4"/>
        <v>0.9874791318864774</v>
      </c>
      <c r="H29" s="6">
        <f t="shared" si="5"/>
        <v>0.97913188647746241</v>
      </c>
      <c r="I29" s="6">
        <f t="shared" si="0"/>
        <v>0.97756232686980604</v>
      </c>
      <c r="K29" s="1" t="s">
        <v>27</v>
      </c>
      <c r="L29" s="2">
        <v>0.1057</v>
      </c>
      <c r="M29" s="2">
        <v>0.1087</v>
      </c>
      <c r="N29" s="2">
        <v>0.1081</v>
      </c>
      <c r="O29" s="3">
        <f t="shared" si="6"/>
        <v>0.1075</v>
      </c>
      <c r="P29" s="6">
        <f t="shared" si="9"/>
        <v>0.91753472222222232</v>
      </c>
      <c r="Q29" s="6">
        <f t="shared" si="7"/>
        <v>0.93706896551724139</v>
      </c>
      <c r="R29" s="6">
        <f t="shared" si="8"/>
        <v>0.95833333333333337</v>
      </c>
      <c r="S29" s="6">
        <f t="shared" si="1"/>
        <v>0.93749999999999989</v>
      </c>
    </row>
    <row r="30" spans="1:19" ht="15.75" x14ac:dyDescent="0.4">
      <c r="A30" s="1" t="s">
        <v>28</v>
      </c>
      <c r="B30" s="2">
        <v>0.1149</v>
      </c>
      <c r="C30" s="2">
        <v>0.1201</v>
      </c>
      <c r="D30" s="2">
        <v>0.1198</v>
      </c>
      <c r="E30" s="3">
        <f t="shared" si="2"/>
        <v>0.11826666666666667</v>
      </c>
      <c r="F30" s="6">
        <f t="shared" si="3"/>
        <v>0.95037220843672465</v>
      </c>
      <c r="G30" s="6">
        <f t="shared" si="4"/>
        <v>1.0025041736227045</v>
      </c>
      <c r="H30" s="6">
        <f t="shared" si="5"/>
        <v>1</v>
      </c>
      <c r="I30" s="6">
        <f t="shared" si="0"/>
        <v>0.98282548476454301</v>
      </c>
      <c r="K30" s="1" t="s">
        <v>28</v>
      </c>
      <c r="L30" s="2">
        <v>9.9900000000000003E-2</v>
      </c>
      <c r="M30" s="2">
        <v>0.1111</v>
      </c>
      <c r="N30" s="2">
        <v>0.111</v>
      </c>
      <c r="O30" s="3">
        <f t="shared" si="6"/>
        <v>0.10733333333333334</v>
      </c>
      <c r="P30" s="6">
        <f t="shared" si="9"/>
        <v>0.8671875</v>
      </c>
      <c r="Q30" s="6">
        <f t="shared" si="7"/>
        <v>0.95775862068965512</v>
      </c>
      <c r="R30" s="6">
        <f t="shared" si="8"/>
        <v>0.98404255319148937</v>
      </c>
      <c r="S30" s="6">
        <f t="shared" si="1"/>
        <v>0.93604651162790686</v>
      </c>
    </row>
    <row r="31" spans="1:19" ht="15.75" x14ac:dyDescent="0.4">
      <c r="A31" s="1" t="s">
        <v>29</v>
      </c>
      <c r="B31" s="2">
        <v>0.1118</v>
      </c>
      <c r="C31" s="2">
        <v>0.11169999999999999</v>
      </c>
      <c r="D31" s="2">
        <v>0.111</v>
      </c>
      <c r="E31" s="3">
        <f t="shared" si="2"/>
        <v>0.11149999999999999</v>
      </c>
      <c r="F31" s="6">
        <f t="shared" si="3"/>
        <v>0.92473118279569899</v>
      </c>
      <c r="G31" s="6">
        <f t="shared" si="4"/>
        <v>0.93238731218697823</v>
      </c>
      <c r="H31" s="6">
        <f t="shared" si="5"/>
        <v>0.92654424040066774</v>
      </c>
      <c r="I31" s="6">
        <f t="shared" si="0"/>
        <v>0.92659279778393344</v>
      </c>
      <c r="K31" s="1" t="s">
        <v>29</v>
      </c>
      <c r="L31" s="2">
        <v>0.1115</v>
      </c>
      <c r="M31" s="2">
        <v>0.1174</v>
      </c>
      <c r="N31" s="2">
        <v>0.1089</v>
      </c>
      <c r="O31" s="3">
        <f t="shared" si="6"/>
        <v>0.11259999999999999</v>
      </c>
      <c r="P31" s="6">
        <f t="shared" si="9"/>
        <v>0.96788194444444453</v>
      </c>
      <c r="Q31" s="6">
        <f t="shared" si="7"/>
        <v>1.0120689655172415</v>
      </c>
      <c r="R31" s="6">
        <f t="shared" si="8"/>
        <v>0.96542553191489366</v>
      </c>
      <c r="S31" s="6">
        <f t="shared" si="1"/>
        <v>0.9819767441860463</v>
      </c>
    </row>
    <row r="32" spans="1:19" ht="15.75" x14ac:dyDescent="0.4">
      <c r="A32" s="1" t="s">
        <v>30</v>
      </c>
      <c r="B32" s="2">
        <v>0.11849999999999999</v>
      </c>
      <c r="C32" s="2">
        <v>0.11990000000000001</v>
      </c>
      <c r="D32" s="2">
        <v>0.1201</v>
      </c>
      <c r="E32" s="3">
        <f t="shared" si="2"/>
        <v>0.1195</v>
      </c>
      <c r="F32" s="6">
        <f t="shared" si="3"/>
        <v>0.98014888337468986</v>
      </c>
      <c r="G32" s="6">
        <f t="shared" si="4"/>
        <v>1.0008347245409015</v>
      </c>
      <c r="H32" s="6">
        <f t="shared" si="5"/>
        <v>1.0025041736227045</v>
      </c>
      <c r="I32" s="6">
        <f t="shared" si="0"/>
        <v>0.99307479224376727</v>
      </c>
      <c r="K32" s="1" t="s">
        <v>30</v>
      </c>
      <c r="L32" s="2">
        <v>0.1205</v>
      </c>
      <c r="M32" s="2">
        <v>0.11360000000000001</v>
      </c>
      <c r="N32" s="2">
        <v>0.10920000000000001</v>
      </c>
      <c r="O32" s="3">
        <f t="shared" si="6"/>
        <v>0.11443333333333333</v>
      </c>
      <c r="P32" s="6">
        <f t="shared" si="9"/>
        <v>1.0460069444444444</v>
      </c>
      <c r="Q32" s="6">
        <f t="shared" si="7"/>
        <v>0.97931034482758617</v>
      </c>
      <c r="R32" s="6">
        <f t="shared" si="8"/>
        <v>0.96808510638297884</v>
      </c>
      <c r="S32" s="6">
        <f t="shared" si="1"/>
        <v>0.99796511627906959</v>
      </c>
    </row>
    <row r="33" spans="1:19" ht="15.75" x14ac:dyDescent="0.4">
      <c r="A33" s="1" t="s">
        <v>31</v>
      </c>
      <c r="B33" s="2">
        <v>0.11990000000000001</v>
      </c>
      <c r="C33" s="2">
        <v>0.1208</v>
      </c>
      <c r="D33" s="2">
        <v>0.1211</v>
      </c>
      <c r="E33" s="3">
        <f t="shared" si="2"/>
        <v>0.1206</v>
      </c>
      <c r="F33" s="6">
        <f t="shared" si="3"/>
        <v>0.9917287014061209</v>
      </c>
      <c r="G33" s="6">
        <f t="shared" si="4"/>
        <v>1.008347245409015</v>
      </c>
      <c r="H33" s="6">
        <f t="shared" si="5"/>
        <v>1.0108514190317195</v>
      </c>
      <c r="I33" s="6">
        <f t="shared" si="0"/>
        <v>1.0022160664819943</v>
      </c>
      <c r="K33" s="1" t="s">
        <v>31</v>
      </c>
      <c r="L33" s="2">
        <v>0.1176</v>
      </c>
      <c r="M33" s="2">
        <v>0.1173</v>
      </c>
      <c r="N33" s="2">
        <v>0.1089</v>
      </c>
      <c r="O33" s="3">
        <f t="shared" si="6"/>
        <v>0.11459999999999999</v>
      </c>
      <c r="P33" s="6">
        <f t="shared" si="9"/>
        <v>1.0208333333333333</v>
      </c>
      <c r="Q33" s="6">
        <f t="shared" si="7"/>
        <v>1.011206896551724</v>
      </c>
      <c r="R33" s="6">
        <f t="shared" si="8"/>
        <v>0.96542553191489366</v>
      </c>
      <c r="S33" s="6">
        <f t="shared" si="1"/>
        <v>0.99941860465116261</v>
      </c>
    </row>
    <row r="34" spans="1:19" ht="15.75" x14ac:dyDescent="0.4">
      <c r="A34" s="1" t="s">
        <v>32</v>
      </c>
      <c r="B34" s="2">
        <v>0.1171</v>
      </c>
      <c r="C34" s="2">
        <v>0.1099</v>
      </c>
      <c r="D34" s="2">
        <v>0.1124</v>
      </c>
      <c r="E34" s="3">
        <f t="shared" si="2"/>
        <v>0.11313333333333332</v>
      </c>
      <c r="F34" s="6">
        <f t="shared" si="3"/>
        <v>0.96856906534325893</v>
      </c>
      <c r="G34" s="6">
        <f t="shared" si="4"/>
        <v>0.91736227045075125</v>
      </c>
      <c r="H34" s="6">
        <f t="shared" si="5"/>
        <v>0.93823038397328884</v>
      </c>
      <c r="I34" s="6">
        <f t="shared" si="0"/>
        <v>0.94016620498614945</v>
      </c>
      <c r="K34" s="1" t="s">
        <v>32</v>
      </c>
      <c r="L34" s="2">
        <v>0.11600000000000001</v>
      </c>
      <c r="M34" s="2">
        <v>0.113</v>
      </c>
      <c r="N34" s="2">
        <v>0.10970000000000001</v>
      </c>
      <c r="O34" s="3">
        <f t="shared" si="6"/>
        <v>0.1129</v>
      </c>
      <c r="P34" s="6">
        <f t="shared" si="9"/>
        <v>1.0069444444444444</v>
      </c>
      <c r="Q34" s="6">
        <f t="shared" si="7"/>
        <v>0.97413793103448276</v>
      </c>
      <c r="R34" s="6">
        <f t="shared" si="8"/>
        <v>0.97251773049645396</v>
      </c>
      <c r="S34" s="6">
        <f t="shared" si="1"/>
        <v>0.98459302325581388</v>
      </c>
    </row>
    <row r="35" spans="1:19" x14ac:dyDescent="0.3">
      <c r="B35">
        <f>CORREL(B2:B34, C2:C34)</f>
        <v>0.70398969639807241</v>
      </c>
      <c r="C35">
        <f>CORREL(C2:C34, D2:D34)</f>
        <v>0.79337858370303027</v>
      </c>
      <c r="D35">
        <f>CORREL(D2:D34, B2:B34)</f>
        <v>0.80490469499904216</v>
      </c>
      <c r="F35">
        <f>CORREL(F2:F34, G2:G34)</f>
        <v>0.7039896963980723</v>
      </c>
      <c r="G35">
        <f>CORREL(G2:G34, H2:H34)</f>
        <v>0.79337858370302994</v>
      </c>
      <c r="H35">
        <f>CORREL(H2:H34, F2:F34)</f>
        <v>0.80490469499904171</v>
      </c>
      <c r="I35" s="6"/>
      <c r="L35">
        <f>CORREL(L2:L34, M2:M34)</f>
        <v>0.56434121587314201</v>
      </c>
      <c r="M35">
        <f>CORREL(M2:M34, N2:N34)</f>
        <v>0.56628843244429894</v>
      </c>
      <c r="N35">
        <f>CORREL(N2:N34, L2:L34)</f>
        <v>0.68619348833394123</v>
      </c>
      <c r="P35">
        <f>CORREL(P2:P34, Q2:Q34)</f>
        <v>0.5643412158731419</v>
      </c>
      <c r="Q35">
        <f>CORREL(Q2:Q34, R2:R34)</f>
        <v>0.56628843244429938</v>
      </c>
      <c r="R35">
        <f>CORREL(R2:R34, P2:P34)</f>
        <v>0.68619348833394156</v>
      </c>
      <c r="S35" s="6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DE81-1727-40C4-B11F-19EE3B4F086A}">
  <dimension ref="A1:B34"/>
  <sheetViews>
    <sheetView tabSelected="1" workbookViewId="0">
      <selection activeCell="G13" sqref="G13"/>
    </sheetView>
  </sheetViews>
  <sheetFormatPr defaultRowHeight="13.5" x14ac:dyDescent="0.3"/>
  <sheetData>
    <row r="1" spans="1:2" x14ac:dyDescent="0.3">
      <c r="A1" t="s">
        <v>40</v>
      </c>
    </row>
    <row r="2" spans="1:2" x14ac:dyDescent="0.3">
      <c r="A2" t="s">
        <v>41</v>
      </c>
      <c r="B2">
        <v>0.78604651162790684</v>
      </c>
    </row>
    <row r="3" spans="1:2" x14ac:dyDescent="0.3">
      <c r="A3" t="s">
        <v>42</v>
      </c>
      <c r="B3">
        <v>0.87063953488372081</v>
      </c>
    </row>
    <row r="4" spans="1:2" x14ac:dyDescent="0.3">
      <c r="A4" t="s">
        <v>43</v>
      </c>
      <c r="B4">
        <v>0.97703488372093006</v>
      </c>
    </row>
    <row r="5" spans="1:2" x14ac:dyDescent="0.3">
      <c r="A5" t="s">
        <v>44</v>
      </c>
      <c r="B5">
        <v>0.92848837209302315</v>
      </c>
    </row>
    <row r="6" spans="1:2" x14ac:dyDescent="0.3">
      <c r="A6" t="s">
        <v>45</v>
      </c>
      <c r="B6">
        <v>1</v>
      </c>
    </row>
    <row r="7" spans="1:2" x14ac:dyDescent="0.3">
      <c r="A7" t="s">
        <v>46</v>
      </c>
      <c r="B7">
        <v>0.94040697674418594</v>
      </c>
    </row>
    <row r="8" spans="1:2" x14ac:dyDescent="0.3">
      <c r="A8" t="s">
        <v>47</v>
      </c>
      <c r="B8">
        <v>1.036046511627907</v>
      </c>
    </row>
    <row r="9" spans="1:2" x14ac:dyDescent="0.3">
      <c r="A9" t="s">
        <v>48</v>
      </c>
      <c r="B9">
        <v>1.0694767441860464</v>
      </c>
    </row>
    <row r="10" spans="1:2" x14ac:dyDescent="0.3">
      <c r="A10" t="s">
        <v>49</v>
      </c>
      <c r="B10">
        <v>1.1180232558139533</v>
      </c>
    </row>
    <row r="11" spans="1:2" x14ac:dyDescent="0.3">
      <c r="A11" t="s">
        <v>50</v>
      </c>
      <c r="B11">
        <v>1.0776162790697674</v>
      </c>
    </row>
    <row r="12" spans="1:2" x14ac:dyDescent="0.3">
      <c r="A12" t="s">
        <v>51</v>
      </c>
      <c r="B12">
        <v>1.0247093023255813</v>
      </c>
    </row>
    <row r="13" spans="1:2" x14ac:dyDescent="0.3">
      <c r="A13" t="s">
        <v>52</v>
      </c>
      <c r="B13">
        <v>1.0659883720930232</v>
      </c>
    </row>
    <row r="14" spans="1:2" x14ac:dyDescent="0.3">
      <c r="A14" t="s">
        <v>53</v>
      </c>
      <c r="B14">
        <v>0.88866279069767418</v>
      </c>
    </row>
    <row r="15" spans="1:2" x14ac:dyDescent="0.3">
      <c r="A15" t="s">
        <v>54</v>
      </c>
      <c r="B15">
        <v>0.84593023255813959</v>
      </c>
    </row>
    <row r="16" spans="1:2" x14ac:dyDescent="0.3">
      <c r="A16" t="s">
        <v>55</v>
      </c>
      <c r="B16">
        <v>0.98110465116279055</v>
      </c>
    </row>
    <row r="17" spans="1:2" x14ac:dyDescent="0.3">
      <c r="A17" t="s">
        <v>56</v>
      </c>
      <c r="B17">
        <v>0.95668604651162781</v>
      </c>
    </row>
    <row r="18" spans="1:2" x14ac:dyDescent="0.3">
      <c r="A18" t="s">
        <v>57</v>
      </c>
      <c r="B18">
        <v>1.0081395348837208</v>
      </c>
    </row>
    <row r="19" spans="1:2" x14ac:dyDescent="0.3">
      <c r="A19" t="s">
        <v>58</v>
      </c>
      <c r="B19">
        <v>0.98749999999999993</v>
      </c>
    </row>
    <row r="20" spans="1:2" x14ac:dyDescent="0.3">
      <c r="A20" t="s">
        <v>59</v>
      </c>
      <c r="B20">
        <v>1.061627906976744</v>
      </c>
    </row>
    <row r="21" spans="1:2" x14ac:dyDescent="0.3">
      <c r="A21" t="s">
        <v>60</v>
      </c>
      <c r="B21">
        <v>1.0610465116279069</v>
      </c>
    </row>
    <row r="22" spans="1:2" x14ac:dyDescent="0.3">
      <c r="A22" t="s">
        <v>61</v>
      </c>
      <c r="B22">
        <v>1.0389534883720928</v>
      </c>
    </row>
    <row r="23" spans="1:2" x14ac:dyDescent="0.3">
      <c r="A23" t="s">
        <v>62</v>
      </c>
      <c r="B23">
        <v>1.070348837209302</v>
      </c>
    </row>
    <row r="24" spans="1:2" x14ac:dyDescent="0.3">
      <c r="A24" t="s">
        <v>63</v>
      </c>
      <c r="B24">
        <v>1.0220930232558139</v>
      </c>
    </row>
    <row r="25" spans="1:2" x14ac:dyDescent="0.3">
      <c r="A25" t="s">
        <v>64</v>
      </c>
      <c r="B25">
        <v>0.97906976744186036</v>
      </c>
    </row>
    <row r="26" spans="1:2" x14ac:dyDescent="0.3">
      <c r="A26" t="s">
        <v>65</v>
      </c>
      <c r="B26">
        <v>0.95930232558139528</v>
      </c>
    </row>
    <row r="27" spans="1:2" x14ac:dyDescent="0.3">
      <c r="A27" t="s">
        <v>66</v>
      </c>
      <c r="B27">
        <v>0.94825581395348824</v>
      </c>
    </row>
    <row r="28" spans="1:2" x14ac:dyDescent="0.3">
      <c r="A28" t="s">
        <v>67</v>
      </c>
      <c r="B28">
        <v>0.94622093023255804</v>
      </c>
    </row>
    <row r="29" spans="1:2" x14ac:dyDescent="0.3">
      <c r="A29" t="s">
        <v>68</v>
      </c>
      <c r="B29">
        <v>0.93749999999999989</v>
      </c>
    </row>
    <row r="30" spans="1:2" x14ac:dyDescent="0.3">
      <c r="A30" t="s">
        <v>69</v>
      </c>
      <c r="B30">
        <v>0.93604651162790686</v>
      </c>
    </row>
    <row r="31" spans="1:2" x14ac:dyDescent="0.3">
      <c r="A31" t="s">
        <v>70</v>
      </c>
      <c r="B31">
        <v>0.9819767441860463</v>
      </c>
    </row>
    <row r="32" spans="1:2" x14ac:dyDescent="0.3">
      <c r="A32" t="s">
        <v>71</v>
      </c>
      <c r="B32">
        <v>0.99796511627906959</v>
      </c>
    </row>
    <row r="33" spans="1:2" x14ac:dyDescent="0.3">
      <c r="A33" t="s">
        <v>72</v>
      </c>
      <c r="B33">
        <v>0.99941860465116261</v>
      </c>
    </row>
    <row r="34" spans="1:2" x14ac:dyDescent="0.3">
      <c r="A34" t="s">
        <v>73</v>
      </c>
      <c r="B34">
        <v>0.98459302325581388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zyan</cp:lastModifiedBy>
  <dcterms:created xsi:type="dcterms:W3CDTF">2025-12-04T09:55:07Z</dcterms:created>
  <dcterms:modified xsi:type="dcterms:W3CDTF">2026-07-10T10:49:53Z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7782BDE2B37D597AFBE930698B55E692_41</vt:lpwstr>
  </property>
  <property fmtid="{D5CDD505-2E9C-101B-9397-08002B2CF9AE}" pid="3" name="KSOProductBuildVer">
    <vt:lpwstr>2052-6.2.2.8394</vt:lpwstr>
  </property>
</Properties>
</file>