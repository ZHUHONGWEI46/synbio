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<sst xmlns="http://schemas.openxmlformats.org/spreadsheetml/2006/main" count="38" uniqueCount="32">
  <si>
    <t>OD600=40</t>
  </si>
  <si>
    <t>22h</t>
  </si>
  <si>
    <t>mM</t>
  </si>
  <si>
    <t>全细胞催化</t>
  </si>
  <si>
    <t>纯酶酶活</t>
  </si>
  <si>
    <t>PSW-1</t>
  </si>
  <si>
    <t>PSW-2</t>
  </si>
  <si>
    <t>PSW-3</t>
  </si>
  <si>
    <t>F430M</t>
  </si>
  <si>
    <t>108-1</t>
  </si>
  <si>
    <t>108-2</t>
  </si>
  <si>
    <t>N506A</t>
  </si>
  <si>
    <t>108-3</t>
  </si>
  <si>
    <t>N506A+G980M</t>
  </si>
  <si>
    <t>71-1</t>
  </si>
  <si>
    <t>L417A</t>
  </si>
  <si>
    <t>71-2</t>
  </si>
  <si>
    <t>G980M</t>
  </si>
  <si>
    <t>71-3</t>
  </si>
  <si>
    <t>L335A</t>
  </si>
  <si>
    <t>240-1</t>
  </si>
  <si>
    <t>240-2</t>
  </si>
  <si>
    <t>240-3</t>
  </si>
  <si>
    <t>66-1</t>
  </si>
  <si>
    <t>66-2</t>
  </si>
  <si>
    <t>66-3</t>
  </si>
  <si>
    <t>44-1</t>
  </si>
  <si>
    <t>44-2</t>
  </si>
  <si>
    <t>44-3</t>
  </si>
  <si>
    <t>89-1</t>
  </si>
  <si>
    <t>89-2</t>
  </si>
  <si>
    <t>89-3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</si>
</sst>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Sheet1!$N$5:$N$10</c:f>
              <c:numCache>
                <c:formatCode>0.00_ </c:formatCode>
                <c:ptCount val="6"/>
                <c:pt idx="0">
                  <c:v>1.42275484524467</c:v>
                </c:pt>
                <c:pt idx="1">
                  <c:v>1.27291750284379</c:v>
                </c:pt>
                <c:pt idx="2">
                  <c:v>1.37785160386696</c:v>
                </c:pt>
                <c:pt idx="3">
                  <c:v>1.47289933380851</c:v>
                </c:pt>
                <c:pt idx="4">
                  <c:v>1.41623792815154</c:v>
                </c:pt>
                <c:pt idx="5">
                  <c:v>1.0970003320602</c:v>
                </c:pt>
              </c:numCache>
            </c:numRef>
          </c:xVal>
          <c:yVal>
            <c:numRef>
              <c:f>Sheet1!$O$5:$O$10</c:f>
              <c:numCache>
                <c:formatCode>0.00_ </c:formatCode>
                <c:ptCount val="6"/>
                <c:pt idx="0">
                  <c:v>1.74</c:v>
                </c:pt>
                <c:pt idx="1">
                  <c:v>1.56</c:v>
                </c:pt>
                <c:pt idx="2">
                  <c:v>1.65</c:v>
                </c:pt>
                <c:pt idx="3">
                  <c:v>1.61</c:v>
                </c:pt>
                <c:pt idx="4">
                  <c:v>1.65</c:v>
                </c:pt>
                <c:pt idx="5">
                  <c:v>1.56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08746"/>
        <c:axId val="543692574"/>
      </c:scatterChart>
      <c:valAx>
        <c:axId val="1295087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692574"/>
        <c:crosses val="autoZero"/>
        <c:crossBetween val="midCat"/>
      </c:valAx>
      <c:valAx>
        <c:axId val="543692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08746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565785</xdr:colOff>
      <xdr:row>11</xdr:row>
      <xdr:rowOff>196850</xdr:rowOff>
    </xdr:from>
    <xdr:to>
      <xdr:col>19</xdr:col>
      <xdr:colOff>432435</xdr:colOff>
      <xdr:row>25</xdr:row>
      <xdr:rowOff>85090</xdr:rowOff>
    </xdr:to>
    <xdr:graphicFrame>
      <xdr:nvGraphicFramePr>
        <xdr:cNvPr id="3" name="图表 2"/>
        <xdr:cNvGraphicFramePr/>
      </xdr:nvGraphicFramePr>
      <xdr:xfrm>
        <a:off x="9979660" y="2543810"/>
        <a:ext cx="458216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K19" sqref="K19"/>
    </sheetView>
  </sheetViews>
  <sheetFormatPr defaultColWidth="9.23076923076923" defaultRowHeight="16.8"/>
  <cols>
    <col min="1" max="1" width="13.7788461538462" style="1" customWidth="1"/>
    <col min="2" max="2" width="9.23076923076923" style="2"/>
    <col min="3" max="3" width="9.69230769230769" style="1"/>
    <col min="4" max="6" width="14.0769230769231" style="1"/>
    <col min="7" max="7" width="14.0769230769231" style="3"/>
    <col min="8" max="8" width="12.9230769230769" style="4"/>
    <col min="9" max="9" width="12.9230769230769" style="5"/>
    <col min="10" max="10" width="9.23076923076923" style="5"/>
    <col min="13" max="13" width="16.0192307692308" customWidth="1"/>
    <col min="14" max="15" width="9.23076923076923" style="5"/>
  </cols>
  <sheetData>
    <row r="1" spans="1:10">
      <c r="A1" s="1" t="s">
        <v>0</v>
      </c>
      <c r="C1" s="1" t="s">
        <v>1</v>
      </c>
      <c r="G1" s="3" t="s">
        <v>2</v>
      </c>
      <c r="I1" s="5" t="s">
        <v>3</v>
      </c>
      <c r="J1" s="5" t="s">
        <v>4</v>
      </c>
    </row>
    <row r="2" spans="2:8">
      <c r="B2" s="2" t="s">
        <v>5</v>
      </c>
      <c r="C2" s="1">
        <v>1186.5</v>
      </c>
      <c r="D2" s="1">
        <f>(C2-170.09)/14169</f>
        <v>0.0717347730961959</v>
      </c>
      <c r="E2" s="1">
        <f>D2*0.551</f>
        <v>0.039525859976004</v>
      </c>
      <c r="F2" s="1">
        <f>E2/88.15</f>
        <v>0.000448393193148088</v>
      </c>
      <c r="G2" s="3">
        <f>F2*1000</f>
        <v>0.448393193148088</v>
      </c>
      <c r="H2" s="4">
        <f>(G2+G3+G4)/3</f>
        <v>0.517421860823003</v>
      </c>
    </row>
    <row r="3" spans="2:7">
      <c r="B3" s="2" t="s">
        <v>6</v>
      </c>
      <c r="C3" s="1">
        <v>1474.63</v>
      </c>
      <c r="D3" s="1">
        <f t="shared" ref="D3:D22" si="0">(C3-170.09)/14169</f>
        <v>0.0920700119980239</v>
      </c>
      <c r="E3" s="1">
        <f t="shared" ref="E3:E22" si="1">D3*0.551</f>
        <v>0.0507305766109112</v>
      </c>
      <c r="F3" s="1">
        <f t="shared" ref="F3:F22" si="2">E3/88.15</f>
        <v>0.000575502854349531</v>
      </c>
      <c r="G3" s="3">
        <f t="shared" ref="G3:G22" si="3">F3*1000</f>
        <v>0.575502854349531</v>
      </c>
    </row>
    <row r="4" spans="2:7">
      <c r="B4" s="2" t="s">
        <v>7</v>
      </c>
      <c r="C4" s="1">
        <v>1367.789</v>
      </c>
      <c r="D4" s="1">
        <f t="shared" si="0"/>
        <v>0.0845295363116663</v>
      </c>
      <c r="E4" s="1">
        <f t="shared" si="1"/>
        <v>0.0465757745077281</v>
      </c>
      <c r="F4" s="1">
        <f t="shared" si="2"/>
        <v>0.000528369534971391</v>
      </c>
      <c r="G4" s="3">
        <f t="shared" si="3"/>
        <v>0.528369534971391</v>
      </c>
    </row>
    <row r="5" spans="1:15">
      <c r="A5" s="6" t="s">
        <v>8</v>
      </c>
      <c r="B5" s="2" t="s">
        <v>9</v>
      </c>
      <c r="C5" s="1">
        <v>1806.256</v>
      </c>
      <c r="D5" s="1">
        <f t="shared" si="0"/>
        <v>0.115475051168043</v>
      </c>
      <c r="E5" s="1">
        <f t="shared" si="1"/>
        <v>0.0636267531935917</v>
      </c>
      <c r="F5" s="1">
        <f t="shared" si="2"/>
        <v>0.000721800943773019</v>
      </c>
      <c r="G5" s="3">
        <f t="shared" si="3"/>
        <v>0.721800943773019</v>
      </c>
      <c r="H5" s="5">
        <f>G5/0.52</f>
        <v>1.38807873802504</v>
      </c>
      <c r="I5" s="5">
        <f>(H5+H6+H7)/3</f>
        <v>1.42275484524467</v>
      </c>
      <c r="J5" s="5">
        <v>1.74</v>
      </c>
      <c r="M5" t="s">
        <v>8</v>
      </c>
      <c r="N5" s="4">
        <v>1.42275484524467</v>
      </c>
      <c r="O5" s="4">
        <v>1.74</v>
      </c>
    </row>
    <row r="6" spans="1:15">
      <c r="A6" s="6"/>
      <c r="B6" s="2" t="s">
        <v>10</v>
      </c>
      <c r="C6" s="1">
        <v>1838.259</v>
      </c>
      <c r="D6" s="1">
        <f t="shared" si="0"/>
        <v>0.117733714447032</v>
      </c>
      <c r="E6" s="1">
        <f t="shared" si="1"/>
        <v>0.0648712766603148</v>
      </c>
      <c r="F6" s="1">
        <f t="shared" si="2"/>
        <v>0.000735919190701245</v>
      </c>
      <c r="G6" s="3">
        <f t="shared" si="3"/>
        <v>0.735919190701245</v>
      </c>
      <c r="H6" s="5">
        <f t="shared" ref="H6:H22" si="4">G6/0.52</f>
        <v>1.41522921288701</v>
      </c>
      <c r="M6" t="s">
        <v>11</v>
      </c>
      <c r="N6" s="4">
        <v>1.27291750284379</v>
      </c>
      <c r="O6" s="4">
        <v>1.56</v>
      </c>
    </row>
    <row r="7" spans="1:15">
      <c r="A7" s="6"/>
      <c r="B7" s="2" t="s">
        <v>12</v>
      </c>
      <c r="C7" s="1">
        <v>1896.874</v>
      </c>
      <c r="D7" s="1">
        <f t="shared" si="0"/>
        <v>0.121870562495589</v>
      </c>
      <c r="E7" s="1">
        <f t="shared" si="1"/>
        <v>0.0671506799350695</v>
      </c>
      <c r="F7" s="1">
        <f t="shared" si="2"/>
        <v>0.000761777424107425</v>
      </c>
      <c r="G7" s="3">
        <f t="shared" si="3"/>
        <v>0.761777424107425</v>
      </c>
      <c r="H7" s="5">
        <f t="shared" si="4"/>
        <v>1.46495658482197</v>
      </c>
      <c r="M7" t="s">
        <v>13</v>
      </c>
      <c r="N7" s="4">
        <v>1.37785160386696</v>
      </c>
      <c r="O7" s="4">
        <v>1.65</v>
      </c>
    </row>
    <row r="8" spans="1:15">
      <c r="A8" s="6" t="s">
        <v>11</v>
      </c>
      <c r="B8" s="2" t="s">
        <v>14</v>
      </c>
      <c r="C8" s="1">
        <v>1839.943</v>
      </c>
      <c r="D8" s="1">
        <f t="shared" si="0"/>
        <v>0.117852565459807</v>
      </c>
      <c r="E8" s="1">
        <f t="shared" si="1"/>
        <v>0.0649367635683535</v>
      </c>
      <c r="F8" s="1">
        <f t="shared" si="2"/>
        <v>0.000736662093798678</v>
      </c>
      <c r="G8" s="3">
        <f t="shared" si="3"/>
        <v>0.736662093798678</v>
      </c>
      <c r="H8" s="5">
        <f t="shared" si="4"/>
        <v>1.41665787268977</v>
      </c>
      <c r="I8" s="5">
        <f>(H8+H9+H10)/3</f>
        <v>1.27291750284379</v>
      </c>
      <c r="J8" s="5">
        <v>1.56</v>
      </c>
      <c r="M8" t="s">
        <v>15</v>
      </c>
      <c r="N8" s="4">
        <v>1.47289933380851</v>
      </c>
      <c r="O8" s="4">
        <v>1.61</v>
      </c>
    </row>
    <row r="9" spans="1:15">
      <c r="A9" s="6"/>
      <c r="B9" s="2" t="s">
        <v>16</v>
      </c>
      <c r="C9" s="1">
        <v>1484.018</v>
      </c>
      <c r="D9" s="1">
        <f t="shared" si="0"/>
        <v>0.0927325852212577</v>
      </c>
      <c r="E9" s="1">
        <f t="shared" si="1"/>
        <v>0.051095654456913</v>
      </c>
      <c r="F9" s="1">
        <f t="shared" si="2"/>
        <v>0.00057964440677156</v>
      </c>
      <c r="G9" s="3">
        <f t="shared" si="3"/>
        <v>0.57964440677156</v>
      </c>
      <c r="H9" s="5">
        <f t="shared" si="4"/>
        <v>1.114700782253</v>
      </c>
      <c r="M9" t="s">
        <v>17</v>
      </c>
      <c r="N9" s="4">
        <v>1.41623792815154</v>
      </c>
      <c r="O9" s="4">
        <v>1.65</v>
      </c>
    </row>
    <row r="10" spans="1:15">
      <c r="A10" s="6"/>
      <c r="B10" s="2" t="s">
        <v>18</v>
      </c>
      <c r="C10" s="1">
        <v>1687.576</v>
      </c>
      <c r="D10" s="1">
        <f t="shared" si="0"/>
        <v>0.107099018985108</v>
      </c>
      <c r="E10" s="1">
        <f t="shared" si="1"/>
        <v>0.0590115594607947</v>
      </c>
      <c r="F10" s="1">
        <f t="shared" si="2"/>
        <v>0.000669444803866077</v>
      </c>
      <c r="G10" s="3">
        <f t="shared" si="3"/>
        <v>0.669444803866077</v>
      </c>
      <c r="H10" s="5">
        <f t="shared" si="4"/>
        <v>1.28739385358861</v>
      </c>
      <c r="M10" t="s">
        <v>19</v>
      </c>
      <c r="N10" s="4">
        <v>1.0970003320602</v>
      </c>
      <c r="O10" s="4">
        <v>1.56</v>
      </c>
    </row>
    <row r="11" spans="1:10">
      <c r="A11" s="6" t="s">
        <v>13</v>
      </c>
      <c r="B11" s="2" t="s">
        <v>20</v>
      </c>
      <c r="C11" s="1">
        <v>1797.234</v>
      </c>
      <c r="D11" s="1">
        <f t="shared" si="0"/>
        <v>0.114838308984403</v>
      </c>
      <c r="E11" s="1">
        <f t="shared" si="1"/>
        <v>0.0632759082504058</v>
      </c>
      <c r="F11" s="1">
        <f t="shared" si="2"/>
        <v>0.00071782085366314</v>
      </c>
      <c r="G11" s="3">
        <f t="shared" si="3"/>
        <v>0.71782085366314</v>
      </c>
      <c r="H11" s="5">
        <f t="shared" si="4"/>
        <v>1.38042471858296</v>
      </c>
      <c r="I11" s="5">
        <f>(H11+H12+H13)/3</f>
        <v>1.37785160386696</v>
      </c>
      <c r="J11" s="5">
        <v>1.65</v>
      </c>
    </row>
    <row r="12" spans="1:8">
      <c r="A12" s="6"/>
      <c r="B12" s="2" t="s">
        <v>21</v>
      </c>
      <c r="C12" s="1">
        <v>1762.335</v>
      </c>
      <c r="D12" s="1">
        <f t="shared" si="0"/>
        <v>0.112375255840215</v>
      </c>
      <c r="E12" s="1">
        <f t="shared" si="1"/>
        <v>0.0619187659679582</v>
      </c>
      <c r="F12" s="1">
        <f t="shared" si="2"/>
        <v>0.000702425025161182</v>
      </c>
      <c r="G12" s="3">
        <f t="shared" si="3"/>
        <v>0.702425025161182</v>
      </c>
      <c r="H12" s="5">
        <f t="shared" si="4"/>
        <v>1.3508173560792</v>
      </c>
    </row>
    <row r="13" spans="1:8">
      <c r="A13" s="6"/>
      <c r="B13" s="2" t="s">
        <v>22</v>
      </c>
      <c r="C13" s="1">
        <v>1823.034</v>
      </c>
      <c r="D13" s="1">
        <f t="shared" si="0"/>
        <v>0.11665918554591</v>
      </c>
      <c r="E13" s="1">
        <f t="shared" si="1"/>
        <v>0.0642792112357965</v>
      </c>
      <c r="F13" s="1">
        <f t="shared" si="2"/>
        <v>0.000729202623208128</v>
      </c>
      <c r="G13" s="3">
        <f t="shared" si="3"/>
        <v>0.729202623208128</v>
      </c>
      <c r="H13" s="5">
        <f t="shared" si="4"/>
        <v>1.40231273693871</v>
      </c>
    </row>
    <row r="14" spans="1:10">
      <c r="A14" s="6" t="s">
        <v>15</v>
      </c>
      <c r="B14" s="2" t="s">
        <v>23</v>
      </c>
      <c r="C14" s="1">
        <v>1744.421</v>
      </c>
      <c r="D14" s="1">
        <f t="shared" si="0"/>
        <v>0.111110946432352</v>
      </c>
      <c r="E14" s="1">
        <f t="shared" si="1"/>
        <v>0.0612221314842261</v>
      </c>
      <c r="F14" s="1">
        <f t="shared" si="2"/>
        <v>0.000694522194943008</v>
      </c>
      <c r="G14" s="3">
        <f t="shared" si="3"/>
        <v>0.694522194943008</v>
      </c>
      <c r="H14" s="5">
        <f t="shared" si="4"/>
        <v>1.33561960565963</v>
      </c>
      <c r="I14" s="5">
        <f>(H14+H15+H16)/3</f>
        <v>1.47289933380851</v>
      </c>
      <c r="J14" s="5">
        <v>1.61</v>
      </c>
    </row>
    <row r="15" spans="1:8">
      <c r="A15" s="6"/>
      <c r="B15" s="2" t="s">
        <v>24</v>
      </c>
      <c r="C15" s="1">
        <v>2079.254</v>
      </c>
      <c r="D15" s="1">
        <f t="shared" si="0"/>
        <v>0.134742324793563</v>
      </c>
      <c r="E15" s="1">
        <f t="shared" si="1"/>
        <v>0.0742430209612534</v>
      </c>
      <c r="F15" s="1">
        <f t="shared" si="2"/>
        <v>0.00084223506479017</v>
      </c>
      <c r="G15" s="3">
        <f t="shared" si="3"/>
        <v>0.84223506479017</v>
      </c>
      <c r="H15" s="5">
        <f t="shared" si="4"/>
        <v>1.61968281690417</v>
      </c>
    </row>
    <row r="16" spans="1:8">
      <c r="A16" s="6"/>
      <c r="B16" s="2" t="s">
        <v>25</v>
      </c>
      <c r="C16" s="1">
        <v>1895.034</v>
      </c>
      <c r="D16" s="1">
        <f t="shared" si="0"/>
        <v>0.121740701531512</v>
      </c>
      <c r="E16" s="1">
        <f t="shared" si="1"/>
        <v>0.0670791265438634</v>
      </c>
      <c r="F16" s="1">
        <f t="shared" si="2"/>
        <v>0.000760965701008093</v>
      </c>
      <c r="G16" s="3">
        <f t="shared" si="3"/>
        <v>0.760965701008093</v>
      </c>
      <c r="H16" s="5">
        <f t="shared" si="4"/>
        <v>1.46339557886172</v>
      </c>
    </row>
    <row r="17" spans="1:10">
      <c r="A17" s="6" t="s">
        <v>17</v>
      </c>
      <c r="B17" s="2" t="s">
        <v>26</v>
      </c>
      <c r="C17" s="1">
        <v>2101.609</v>
      </c>
      <c r="D17" s="1">
        <f t="shared" si="0"/>
        <v>0.136320064930482</v>
      </c>
      <c r="E17" s="1">
        <f t="shared" si="1"/>
        <v>0.0751123557766956</v>
      </c>
      <c r="F17" s="1">
        <f t="shared" si="2"/>
        <v>0.0008520970592932</v>
      </c>
      <c r="G17" s="3">
        <f t="shared" si="3"/>
        <v>0.8520970592932</v>
      </c>
      <c r="H17" s="5">
        <f t="shared" si="4"/>
        <v>1.63864819094846</v>
      </c>
      <c r="I17" s="5">
        <f>(H17+H18+H19)/3</f>
        <v>1.41623792815154</v>
      </c>
      <c r="J17" s="5">
        <v>1.65</v>
      </c>
    </row>
    <row r="18" spans="1:8">
      <c r="A18" s="6"/>
      <c r="B18" s="2" t="s">
        <v>27</v>
      </c>
      <c r="C18" s="1">
        <v>1745.098</v>
      </c>
      <c r="D18" s="1">
        <f t="shared" si="0"/>
        <v>0.111158726797939</v>
      </c>
      <c r="E18" s="1">
        <f t="shared" si="1"/>
        <v>0.0612484584656645</v>
      </c>
      <c r="F18" s="1">
        <f t="shared" si="2"/>
        <v>0.000694820856105099</v>
      </c>
      <c r="G18" s="3">
        <f t="shared" si="3"/>
        <v>0.694820856105099</v>
      </c>
      <c r="H18" s="5">
        <f t="shared" si="4"/>
        <v>1.33619395404827</v>
      </c>
    </row>
    <row r="19" spans="1:8">
      <c r="A19" s="6"/>
      <c r="B19" s="2" t="s">
        <v>28</v>
      </c>
      <c r="C19" s="1">
        <v>1671.637</v>
      </c>
      <c r="D19" s="1">
        <f t="shared" si="0"/>
        <v>0.105974098383796</v>
      </c>
      <c r="E19" s="1">
        <f t="shared" si="1"/>
        <v>0.0583917282094714</v>
      </c>
      <c r="F19" s="1">
        <f t="shared" si="2"/>
        <v>0.00066241325251811</v>
      </c>
      <c r="G19" s="3">
        <f t="shared" si="3"/>
        <v>0.66241325251811</v>
      </c>
      <c r="H19" s="5">
        <f t="shared" si="4"/>
        <v>1.2738716394579</v>
      </c>
    </row>
    <row r="20" spans="1:10">
      <c r="A20" s="6" t="s">
        <v>19</v>
      </c>
      <c r="B20" s="2" t="s">
        <v>29</v>
      </c>
      <c r="C20" s="1">
        <v>1491.313</v>
      </c>
      <c r="D20" s="1">
        <f t="shared" si="0"/>
        <v>0.0932474415978545</v>
      </c>
      <c r="E20" s="1">
        <f t="shared" si="1"/>
        <v>0.0513793403204178</v>
      </c>
      <c r="F20" s="1">
        <f t="shared" si="2"/>
        <v>0.000582862624168098</v>
      </c>
      <c r="G20" s="3">
        <f t="shared" si="3"/>
        <v>0.582862624168098</v>
      </c>
      <c r="H20" s="5">
        <f t="shared" si="4"/>
        <v>1.12088966186173</v>
      </c>
      <c r="I20" s="5">
        <f>(H20+H21+H22)/3</f>
        <v>1.0970003320602</v>
      </c>
      <c r="J20" s="5">
        <v>1.56</v>
      </c>
    </row>
    <row r="21" spans="1:8">
      <c r="A21" s="6"/>
      <c r="B21" s="2" t="s">
        <v>30</v>
      </c>
      <c r="C21" s="1">
        <v>1330.891</v>
      </c>
      <c r="D21" s="1">
        <f t="shared" si="0"/>
        <v>0.0819254005222669</v>
      </c>
      <c r="E21" s="1">
        <f t="shared" si="1"/>
        <v>0.0451408956877691</v>
      </c>
      <c r="F21" s="1">
        <f t="shared" si="2"/>
        <v>0.000512091839906626</v>
      </c>
      <c r="G21" s="3">
        <f t="shared" si="3"/>
        <v>0.512091839906626</v>
      </c>
      <c r="H21" s="5">
        <f t="shared" si="4"/>
        <v>0.984791999820435</v>
      </c>
    </row>
    <row r="22" spans="1:8">
      <c r="A22" s="6"/>
      <c r="B22" s="2" t="s">
        <v>31</v>
      </c>
      <c r="C22" s="1">
        <v>1567.258</v>
      </c>
      <c r="D22" s="1">
        <f t="shared" si="0"/>
        <v>0.0986073823135013</v>
      </c>
      <c r="E22" s="1">
        <f t="shared" si="1"/>
        <v>0.0543326676547392</v>
      </c>
      <c r="F22" s="1">
        <f t="shared" si="2"/>
        <v>0.000616366053939186</v>
      </c>
      <c r="G22" s="3">
        <f t="shared" si="3"/>
        <v>0.616366053939186</v>
      </c>
      <c r="H22" s="5">
        <f t="shared" si="4"/>
        <v>1.18531933449843</v>
      </c>
    </row>
  </sheetData>
  <mergeCells count="6">
    <mergeCell ref="A5:A7"/>
    <mergeCell ref="A8:A10"/>
    <mergeCell ref="A11:A13"/>
    <mergeCell ref="A14:A16"/>
    <mergeCell ref="A17:A19"/>
    <mergeCell ref="A20:A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We</cp:lastModifiedBy>
  <dcterms:created xsi:type="dcterms:W3CDTF">2026-09-07T18:29:00Z</dcterms:created>
  <dcterms:modified xsi:type="dcterms:W3CDTF">2026-09-07T10:57:39Z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AD40C80067350F8C90219E6ACEF3D0BB_41</vt:lpwstr>
  </property>
  <property fmtid="{D5CDD505-2E9C-101B-9397-08002B2CF9AE}" pid="3" name="KSOProductBuildVer">
    <vt:lpwstr>2052-6.2.2.8394</vt:lpwstr>
  </property>
</Properties>
</file>