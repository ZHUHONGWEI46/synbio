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fadbccfaf349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90c8608756f4a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7973e9902c4fe8" /><Relationship Type="http://schemas.openxmlformats.org/officeDocument/2006/relationships/theme" Target="/xl/theme/theme1.xml" Id="R8a22ab6c43b9469c" /><Relationship Type="http://schemas.openxmlformats.org/officeDocument/2006/relationships/sharedStrings" Target="/xl/sharedStrings.xml" Id="Rb8c194a6a00f4826" /><Relationship Type="http://schemas.openxmlformats.org/officeDocument/2006/relationships/worksheet" Target="/xl/worksheets/sheet1.xml" Id="Rc90c8608756f4a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6" customHeight="1">
      <x:c r="A1" s="2" t="str">
        <x:v>name</x:v>
      </x:c>
      <x:c r="B1" s="2" t="str">
        <x:v>seq</x:v>
      </x:c>
      <x:c r="C1" s="2" t="str">
        <x:v>replicate1</x:v>
      </x:c>
      <x:c r="D1" s="2" t="str">
        <x:v>replicate2</x:v>
      </x:c>
      <x:c r="E1" s="2" t="str">
        <x:v>replicate3</x:v>
      </x:c>
      <x:c r="F1" s="2" t="str">
        <x:v>average</x:v>
      </x:c>
    </x:row>
    <x:row r="2" ht="22" customHeight="1">
      <x:c r="A2" t="str">
        <x:v>D281P:G420W:N514S:L335A:N506A</x:v>
      </x:c>
      <x:c r="B2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AIRPTALALVPRVCDMVFQRFQTEVDRRLASSDTASAEAVAAEVKADIRDNLFGGRVSAVMVGSAPLSEELGEFIESCFELNLTDWYGSTEAGMVFRDGIVQRPPVIDYKLVDVPELGYFSTDKPHPRGELLLKTDGMFLGYYKRPEVTAGVFDADGFYMTGDIVAELAHDA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2" s="3" t="n">
        <x:v>0.799170616113744</x:v>
      </x:c>
      <x:c r="D2" s="3" t="n">
        <x:v>0.8441943127962084</x:v>
      </x:c>
      <x:c r="E2" s="3" t="n">
        <x:v>0.8412322274881515</x:v>
      </x:c>
      <x:c r="F2" s="3" t="n">
        <x:f>AVERAGE(C2:E2)</x:f>
        <x:v>0.8281990521327013</x:v>
      </x:c>
    </x:row>
    <x:row r="3" ht="22" customHeight="1">
      <x:c r="A3" t="str">
        <x:v>D281P:G420W:N514S:L335A:V228W</x:v>
      </x:c>
      <x:c r="B3" t="str">
        <x:v>MTVTNETNPQQEQLSRRIESLRESDPQFRAAQPDPAVAEQVLRPGLHLSEAIAALMTGYAERPALGERARELVTDQDGRTTLRLLPRFDTTTYGELWSRTTSVAAAWHHDAAHPVKAGDLVATLGFTSIDYTVLDLAIMILGGVAVPLQTSAPASQWTTILAEAEPNTLAVSIELIGAAMESVRATPSIKQVVVFDYTPEVDDQREAFEAASTQLAGTGIAIETLDAWIARGAALPAAPLYAPSAGDDPLALLIYTSGSTGAPKGAMHSENIVRRWWIREPVMAGTENLPMIGLNFMPMSHIMGRGTLTSTLSTGGTGYFAASSDMSTLFEDMEA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3" s="3" t="n">
        <x:v>0.8998815165876778</x:v>
      </x:c>
      <x:c r="D3" s="3" t="n">
        <x:v>0.8898104265402843</x:v>
      </x:c>
      <x:c r="E3" s="3" t="n">
        <x:v>0.9318720379146919</x:v>
      </x:c>
      <x:c r="F3" s="3" t="n">
        <x:f>AVERAGE(C3:E3)</x:f>
        <x:v>0.9071879936808847</x:v>
      </x:c>
    </x:row>
    <x:row r="4" ht="22" customHeight="1">
      <x:c r="A4" t="str">
        <x:v>D281P:G420W:N514S:N506A:N864K</x:v>
      </x:c>
      <x:c r="B4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A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K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4" s="3" t="n">
        <x:v>0.7126777251184834</x:v>
      </x:c>
      <x:c r="D4" s="3" t="n">
        <x:v>0.8625592417061612</x:v>
      </x:c>
      <x:c r="E4" s="3" t="n">
        <x:v>0.7494075829383886</x:v>
      </x:c>
      <x:c r="F4" s="3" t="n">
        <x:f>AVERAGE(C4:E4)</x:f>
        <x:v>0.7748815165876778</x:v>
      </x:c>
    </x:row>
    <x:row r="5" ht="22" customHeight="1">
      <x:c r="A5" t="str">
        <x:v>D281P:G420W:N514S:N506A:V228W</x:v>
      </x:c>
      <x:c r="B5" t="str">
        <x:v>MTVTNETNPQQEQLSRRIESLRESDPQFRAAQPDPAVAEQVLRPGLHLSEAIAALMTGYAERPALGERARELVTDQDGRTTLRLLPRFDTTTYGELWSRTTSVAAAWHHDAAHPVKAGDLVATLGFTSIDYTVLDLAIMILGGVAVPLQTSAPASQWTTILAEAEPNTLAVSIELIGAAMESVRATPSIKQVVVFDYTPEVDDQREAFEAASTQLAGTGIAIETLDAWIARGAALPAAPLYAPSAGDDPLALLIYTSGSTGAPKGAMHSENIVRRWWIREPVMAGTENLPMIGLNFMPMSHIMGRGTLTSTLSTGGTGYFAASSDMSTLFEDMELIRPTALALVPRVCDMVFQRFQTEVDRRLASSDTASAEAVAAEVKADIRDNLFGGRVSAVMVGSAPLSEELGEFIESCFELNLTDWYGSTEAGMVFRDGIVQRPPVIDYKLVDVPELGYFSTDKPHPRGELLLKTDGMFLGYYKRPEVTAGVFDADGFYMTGDIVAELAHDA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5" s="3" t="n">
        <x:v>1.058649289099526</x:v>
      </x:c>
      <x:c r="D5" s="3" t="n">
        <x:v>1.1119668246445498</x:v>
      </x:c>
      <x:c r="E5" s="3" t="n">
        <x:v>1.1101895734597156</x:v>
      </x:c>
      <x:c r="F5" s="3" t="n">
        <x:f>AVERAGE(C5:E5)</x:f>
        <x:v>1.0936018957345972</x:v>
      </x:c>
    </x:row>
    <x:row r="6" ht="22" customHeight="1">
      <x:c r="A6" t="str">
        <x:v>D281P:G420W:N514S:L335A:L875V</x:v>
      </x:c>
      <x:c r="B6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A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V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6" s="3" t="n">
        <x:v>0.9437203791469194</x:v>
      </x:c>
      <x:c r="D6" s="3" t="n">
        <x:v>0.9774881516587678</x:v>
      </x:c>
      <x:c r="E6" s="3" t="n">
        <x:v>0.9478672985781991</x:v>
      </x:c>
      <x:c r="F6" s="3" t="n">
        <x:f>AVERAGE(C6:E6)</x:f>
        <x:v>0.9563586097946288</x:v>
      </x:c>
    </x:row>
    <x:row r="7" ht="22" customHeight="1">
      <x:c r="A7" t="str">
        <x:v>D281P:G420W:N514S:L335A:F430M</x:v>
      </x:c>
      <x:c r="B7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AIRPTALALVPRVCDMVFQRFQTEVDRRLASSDTASAEAVAAEVKADIRDNLFGGRVSAVMVGSAPLSEELGEFIESCFELNLTDWYGSTEAGMVM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7" s="3" t="n">
        <x:v>0.9691943127962085</x:v>
      </x:c>
      <x:c r="D7" s="3" t="n">
        <x:v>0.9520142180094787</x:v>
      </x:c>
      <x:c r="E7" s="3" t="n">
        <x:v>1.044431279620853</x:v>
      </x:c>
      <x:c r="F7" s="3" t="n">
        <x:f>AVERAGE(C7:E7)</x:f>
        <x:v>0.9885466034755135</x:v>
      </x:c>
    </x:row>
    <x:row r="8" ht="22" customHeight="1">
      <x:c r="A8" t="str">
        <x:v>D281P:G420W:N514S:L335A:L417A</x:v>
      </x:c>
      <x:c r="B8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AIRPTALALVPRVCDMVFQRFQTEVDRRLASSDTASAEAVAAEVKADIRDNLFGGRVSAVMVGSAPLSEELGEFIESCFELNA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8" s="3" t="n">
        <x:v>1.1208530805687205</x:v>
      </x:c>
      <x:c r="D8" s="3" t="n">
        <x:v>1.0912322274881519</x:v>
      </x:c>
      <x:c r="E8" s="3" t="n">
        <x:v>1.107227488151659</x:v>
      </x:c>
      <x:c r="F8" s="3" t="n">
        <x:f>AVERAGE(C8:E8)</x:f>
        <x:v>1.1064375987361772</x:v>
      </x:c>
    </x:row>
    <x:row r="9" ht="22" customHeight="1">
      <x:c r="A9" t="str">
        <x:v>D281P:G420W:N514S:L335A:V557I</x:v>
      </x:c>
      <x:c r="B9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AIRPTALALVPRVCDMVFQRFQTEVDRRLASSDTASAEAVAAEVKADIRDNLFGGRVSAVMVGSAPLSEELGEFIESCFELNLTDWYGSTEAGMVFRDGIVQRPPVIDYKLVDVPELGYFSTDKPHPRGELLLKTDGMFLGYYKRPEVTAGVFDADGFYMTGDIVAELAHDNIEIIDRRSNVLKLSQGEFVAVATLEAEYANSPVVHQIYVYGSSERSYLLAI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9" s="3" t="n">
        <x:v>0.6623222748815165</x:v>
      </x:c>
      <x:c r="D9" s="3" t="n">
        <x:v>0.8921800947867299</x:v>
      </x:c>
      <x:c r="E9" s="3" t="n">
        <x:v>0.9075829383886256</x:v>
      </x:c>
      <x:c r="F9" s="3" t="n">
        <x:f>AVERAGE(C9:E9)</x:f>
        <x:v>0.8206951026856241</x:v>
      </x:c>
    </x:row>
    <x:row r="10" ht="22" customHeight="1">
      <x:c r="A10" t="str">
        <x:v>D281P:G420W:N514S:N864K:L875V</x:v>
      </x:c>
      <x:c r="B10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KLGLDADTWQRV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10" s="3" t="n">
        <x:v>0.8933649289099526</x:v>
      </x:c>
      <x:c r="D10" s="3" t="n">
        <x:v>0.898696682464455</x:v>
      </x:c>
      <x:c r="E10" s="3" t="n">
        <x:v>0.895734597156398</x:v>
      </x:c>
      <x:c r="F10" s="3" t="n">
        <x:f>AVERAGE(C10:E10)</x:f>
        <x:v>0.8959320695102685</x:v>
      </x:c>
    </x:row>
    <x:row r="11" ht="22" customHeight="1">
      <x:c r="A11" t="str">
        <x:v>D281P:G420W:N514S:L335A:G980M</x:v>
      </x:c>
      <x:c r="B11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A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MLPVAVFRSDMILAHSRYTGQLNVPDQFTRLILSLIATGIAPGSFYQAHATGERPLAHYDGLPGDFTAEAITTLGTQVVDSYETYDCVNPHADGVSLDNFVDWLIEAGYPIARIDNYTEWFTRFDTAIRSLPEKQKQHSLLPLLHAFEQPSAAENHGVVPAKRFQHAVQAAGIGPAGQDGTTDIPHLSRRLIVKYAKDLEQLGLL</x:v>
      </x:c>
      <x:c r="C11" s="3" t="n">
        <x:v>1.1492890995260663</x:v>
      </x:c>
      <x:c r="D11" s="3" t="n">
        <x:v>1.1682464454976302</x:v>
      </x:c>
      <x:c r="E11" s="3" t="n">
        <x:v>1.1261848341232226</x:v>
      </x:c>
      <x:c r="F11" s="3" t="n">
        <x:f>AVERAGE(C11:E11)</x:f>
        <x:v>1.147906793048973</x:v>
      </x:c>
    </x:row>
    <x:row r="12" ht="22" customHeight="1">
      <x:c r="A12" t="str">
        <x:v>D281P:G420W:N514S:L335A:N625K</x:v>
      </x:c>
      <x:c r="B12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A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K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12" s="3" t="n">
        <x:v>0.7902843601895734</x:v>
      </x:c>
      <x:c r="D12" s="3" t="n">
        <x:v>0.8797393364928909</x:v>
      </x:c>
      <x:c r="E12" s="3" t="n">
        <x:v>0.8536729857819906</x:v>
      </x:c>
      <x:c r="F12" s="3" t="n">
        <x:f>AVERAGE(C12:E12)</x:f>
        <x:v>0.8412322274881516</x:v>
      </x:c>
    </x:row>
    <x:row r="13" ht="22" customHeight="1">
      <x:c r="A13" t="str">
        <x:v>D281P:G420W:N514S:N506A:L417A</x:v>
      </x:c>
      <x:c r="B13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ATDWYGSTEAGMVFRDGIVQRPPVIDYKLVDVPELGYFSTDKPHPRGELLLKTDGMFLGYYKRPEVTAGVFDADGFYMTGDIVAELAHDA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13" s="3" t="n">
        <x:v>0.9503695881731784</x:v>
      </x:c>
      <x:c r="D13" s="3" t="n">
        <x:v>0.9889123548046461</x:v>
      </x:c>
      <x:c r="E13" s="3" t="n">
        <x:v>0.9904963041182681</x:v>
      </x:c>
      <x:c r="F13" s="3" t="n">
        <x:f>AVERAGE(C13:E13)</x:f>
        <x:v>0.9765927490320309</x:v>
      </x:c>
    </x:row>
    <x:row r="14" ht="22" customHeight="1">
      <x:c r="A14" t="str">
        <x:v>D281P:G420W:N514S:N506A:G980M</x:v>
      </x:c>
      <x:c r="B14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A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MLPVAVFRSDMILAHSRYTGQLNVPDQFTRLILSLIATGIAPGSFYQAHATGERPLAHYDGLPGDFTAEAITTLGTQVVDSYETYDCVNPHADGVSLDNFVDWLIEAGYPIARIDNYTEWFTRFDTAIRSLPEKQKQHSLLPLLHAFEQPSAAENHGVVPAKRFQHAVQAAGIGPAGQDGTTDIPHLSRRLIVKYAKDLEQLGLL</x:v>
      </x:c>
      <x:c r="C14" s="3" t="n">
        <x:v>1.1341077085533262</x:v>
      </x:c>
      <x:c r="D14" s="3" t="n">
        <x:v>1.261351636747624</x:v>
      </x:c>
      <x:c r="E14" s="3" t="n">
        <x:v>1.1488912354804646</x:v>
      </x:c>
      <x:c r="F14" s="3" t="n">
        <x:f>AVERAGE(C14:E14)</x:f>
        <x:v>1.1814501935938049</x:v>
      </x:c>
    </x:row>
    <x:row r="15" ht="22" customHeight="1">
      <x:c r="A15" t="str">
        <x:v>D281P:G420W:N514S:N506A:V557I</x:v>
      </x:c>
      <x:c r="B15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AIEIIDRRSNVLKLSQGEFVAVATLEAEYANSPVVHQIYVYGSSERSYLLAI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15" s="3" t="n">
        <x:v>1.1478352692713834</x:v>
      </x:c>
      <x:c r="D15" s="3" t="n">
        <x:v>1.148363252375924</x:v>
      </x:c>
      <x:c r="E15" s="3" t="n">
        <x:v>1.1536430834213305</x:v>
      </x:c>
      <x:c r="F15" s="3" t="n">
        <x:f>AVERAGE(C15:E15)</x:f>
        <x:v>1.1499472016895458</x:v>
      </x:c>
    </x:row>
    <x:row r="16" ht="22" customHeight="1">
      <x:c r="A16" t="str">
        <x:v>D281P:G420W:N514S:L335A:G306K</x:v>
      </x:c>
      <x:c r="B16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KTLTSTLSTGGTGYFAASSDMSTLFEDMEA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16" s="3" t="n">
        <x:v>0.810454065469905</x:v>
      </x:c>
      <x:c r="D16" s="3" t="n">
        <x:v>0.8252375923970432</x:v>
      </x:c>
      <x:c r="E16" s="3" t="n">
        <x:v>0.8262935586061245</x:v>
      </x:c>
      <x:c r="F16" s="3" t="n">
        <x:f>AVERAGE(C16:E16)</x:f>
        <x:v>0.8206617388243576</x:v>
      </x:c>
    </x:row>
    <x:row r="17" ht="22" customHeight="1">
      <x:c r="A17" t="str">
        <x:v>D281P:G420W:N514S:N506A:N625K</x:v>
      </x:c>
      <x:c r="B17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AIEIIDRRSNVLKLSQGEFVAVATLEAEYANSPVVHQIYVYGSSERSYLLAVVVPTPEAVAAAKGDAAALKTTIADSLQDIAKEIQLQSYEVPRDFIIEPQPFTQGNGLLTGIAKLARPK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17" s="3" t="n">
        <x:v>1.0243055555555556</x:v>
      </x:c>
      <x:c r="D17" s="3" t="n">
        <x:v>0.8298611111111112</x:v>
      </x:c>
      <x:c r="E17" s="3" t="n">
        <x:v>1.0020833333333334</x:v>
      </x:c>
      <x:c r="F17" s="3" t="n">
        <x:f>AVERAGE(C17:E17)</x:f>
        <x:v>0.9520833333333334</x:v>
      </x:c>
    </x:row>
    <x:row r="18" ht="22" customHeight="1">
      <x:c r="A18" t="str">
        <x:v>D281P:G420W:N514S:L335A:V557I</x:v>
      </x:c>
      <x:c r="B18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AIRPTALALVPRVCDMVFQRFQTEVDRRLASSDTASAEAVAAEVKADIRDNLFGGRVSAVMVGSAPLSEELGEFIESCFELNLTDWYGSTEAGMVFRDGIVQRPPVIDYKLVDVPELGYFSTDKPHPRGELLLKTDGMFLGYYKRPEVTAGVFDADGFYMTGDIVAELAHDNIEIIDRRSNVLKLSQGEFVAVATLEAEYANSPVVHQIYVYGSSERSYLLAI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18" s="3" t="n">
        <x:v>1.070138888888889</x:v>
      </x:c>
      <x:c r="D18" s="3" t="n">
        <x:v>1.2277777777777779</x:v>
      </x:c>
      <x:c r="E18" s="3" t="n">
        <x:v>1.13125</x:v>
      </x:c>
      <x:c r="F18" s="3" t="n">
        <x:f>AVERAGE(C18:E18)</x:f>
        <x:v>1.1430555555555555</x:v>
      </x:c>
    </x:row>
    <x:row r="19" ht="22" customHeight="1">
      <x:c r="A19" t="str">
        <x:v>D281P:G420W:N514S:L335A:N864K</x:v>
      </x:c>
      <x:c r="B19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A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K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19" s="3" t="n">
        <x:v>1.25625</x:v>
      </x:c>
      <x:c r="D19" s="3" t="n">
        <x:v>1.295138888888889</x:v>
      </x:c>
      <x:c r="E19" s="3" t="n">
        <x:v>1.2111111111111112</x:v>
      </x:c>
      <x:c r="F19" s="3" t="n">
        <x:f>AVERAGE(C19:E19)</x:f>
        <x:v>1.2541666666666667</x:v>
      </x:c>
    </x:row>
    <x:row r="20" ht="22" customHeight="1">
      <x:c r="A20" t="str">
        <x:v>D281P:G420W:N514S:N506A:N864K</x:v>
      </x:c>
      <x:c r="B20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A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K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20" s="3" t="n">
        <x:v>1.2260216847372807</x:v>
      </x:c>
      <x:c r="D20" s="3" t="n">
        <x:v>1.2902418682235195</x:v>
      </x:c>
      <x:c r="E20" s="3" t="n">
        <x:v>1.2301918265221015</x:v>
      </x:c>
      <x:c r="F20" s="3" t="n">
        <x:f>AVERAGE(C20:E20)</x:f>
        <x:v>1.248818459827634</x:v>
      </x:c>
    </x:row>
    <x:row r="21" ht="22" customHeight="1">
      <x:c r="A21" t="str">
        <x:v>D281P:G420W:N514S:N864K:V228W</x:v>
      </x:c>
      <x:c r="B21" t="str">
        <x:v>MTVTNETNPQQEQLSRRIESLRESDPQFRAAQPDPAVAEQVLRPGLHLSEAIAALMTGYAERPALGERARELVTDQDGRTTLRLLPRFDTTTYGELWSRTTSVAAAWHHDAAHPVKAGDLVATLGFTSIDYTVLDLAIMILGGVAVPLQTSAPASQWTTILAEAEPNTLAVSIELIGAAMESVRATPSIKQVVVFDYTPEVDDQREAFEAASTQLAGTGIAIETLDAW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K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21" s="3" t="n">
        <x:v>1.227689741451209</x:v>
      </x:c>
      <x:c r="D21" s="3" t="n">
        <x:v>1.1843202668890735</x:v>
      </x:c>
      <x:c r="E21" s="3" t="n">
        <x:v>1.1342785654712257</x:v>
      </x:c>
      <x:c r="F21" s="3" t="n">
        <x:f>AVERAGE(C21:E21)</x:f>
        <x:v>1.1820961912705028</x:v>
      </x:c>
    </x:row>
  </x:sheetData>
  <x:pageMargins left="0.7" right="0.7" top="0.75" bottom="0.75" header="0.3" footer="0.3"/>
</x:worksheet>
</file>