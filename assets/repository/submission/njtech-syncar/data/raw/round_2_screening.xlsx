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280" activeTab="3"/>
  </bookViews>
  <sheets>
    <sheet name="初筛" sheetId="1" r:id="rId1"/>
    <sheet name="复筛" sheetId="2" r:id="rId2"/>
    <sheet name="初筛排序" sheetId="3" r:id="rId3"/>
    <sheet name="复筛排序" sheetId="4" r:id="rId4"/>
  </sheets>
  <calcPr calcId="144525"/>
</workbook>
</file>

<file path=xl/sharedStrings.xml><?xml version="1.0" encoding="utf-8"?>
<sst xmlns="http://schemas.openxmlformats.org/spreadsheetml/2006/main" count="433" uniqueCount="121">
  <si>
    <t>平均值</t>
  </si>
  <si>
    <t>与PSW倍数关系</t>
  </si>
  <si>
    <t>与2962倍数关系</t>
  </si>
  <si>
    <t>G58K</t>
  </si>
  <si>
    <t>三突</t>
  </si>
  <si>
    <t>N1078A</t>
  </si>
  <si>
    <t>mab2962</t>
  </si>
  <si>
    <t>Y1096A</t>
  </si>
  <si>
    <t>空</t>
  </si>
  <si>
    <t>T839A</t>
  </si>
  <si>
    <t>N416K</t>
  </si>
  <si>
    <t>N385A</t>
  </si>
  <si>
    <t>D585A</t>
  </si>
  <si>
    <t>V228M</t>
  </si>
  <si>
    <t>G58S</t>
  </si>
  <si>
    <t>T871A</t>
  </si>
  <si>
    <t>D581K</t>
  </si>
  <si>
    <t>D585S</t>
  </si>
  <si>
    <t>L875I</t>
  </si>
  <si>
    <t>N271P</t>
  </si>
  <si>
    <t>N536K</t>
  </si>
  <si>
    <t>F1100M</t>
  </si>
  <si>
    <t>N271K</t>
  </si>
  <si>
    <t>P632A</t>
  </si>
  <si>
    <t>D381S</t>
  </si>
  <si>
    <t>P35V</t>
  </si>
  <si>
    <t>E23A</t>
  </si>
  <si>
    <t>G1087K</t>
  </si>
  <si>
    <t>S582A</t>
  </si>
  <si>
    <t>D384A</t>
  </si>
  <si>
    <t>G968M</t>
  </si>
  <si>
    <t>N271A</t>
  </si>
  <si>
    <t>L1166V</t>
  </si>
  <si>
    <t>Q204A</t>
  </si>
  <si>
    <r>
      <rPr>
        <sz val="10.5"/>
        <color theme="1"/>
        <rFont val="Times New Roman Regular"/>
        <charset val="134"/>
      </rPr>
      <t>L289M</t>
    </r>
  </si>
  <si>
    <t>I944V</t>
  </si>
  <si>
    <t>N271S</t>
  </si>
  <si>
    <t>D581A</t>
  </si>
  <si>
    <t>R361A</t>
  </si>
  <si>
    <t>T57R</t>
  </si>
  <si>
    <t>T1101A</t>
  </si>
  <si>
    <t>D581M</t>
  </si>
  <si>
    <t>L978V</t>
  </si>
  <si>
    <t>L417V</t>
  </si>
  <si>
    <t>L875V</t>
  </si>
  <si>
    <t>C979Y</t>
  </si>
  <si>
    <t>N271C</t>
  </si>
  <si>
    <t>D581Q</t>
  </si>
  <si>
    <t>Q27K</t>
  </si>
  <si>
    <t>Q636A</t>
  </si>
  <si>
    <t>L289V</t>
  </si>
  <si>
    <t>D835A</t>
  </si>
  <si>
    <t>Q149P</t>
  </si>
  <si>
    <t>N506K</t>
  </si>
  <si>
    <t>L85A</t>
  </si>
  <si>
    <t>V115I</t>
  </si>
  <si>
    <t>L120V</t>
  </si>
  <si>
    <t>D581S</t>
  </si>
  <si>
    <t>T100A</t>
  </si>
  <si>
    <r>
      <rPr>
        <sz val="10.5"/>
        <color theme="1"/>
        <rFont val="Times New Roman Regular"/>
        <charset val="134"/>
      </rPr>
      <t>Q1026K</t>
    </r>
  </si>
  <si>
    <r>
      <rPr>
        <sz val="10.5"/>
        <color theme="1"/>
        <rFont val="Times New Roman Regular"/>
        <charset val="134"/>
      </rPr>
      <t>L1083M</t>
    </r>
  </si>
  <si>
    <r>
      <rPr>
        <b/>
        <sz val="10.5"/>
        <color theme="1"/>
        <rFont val="Times New Roman Bold"/>
        <charset val="134"/>
      </rPr>
      <t>N385K</t>
    </r>
  </si>
  <si>
    <t>L776A</t>
  </si>
  <si>
    <r>
      <rPr>
        <b/>
        <sz val="10.5"/>
        <color theme="1"/>
        <rFont val="Times New Roman Bold"/>
        <charset val="134"/>
      </rPr>
      <t>N167T</t>
    </r>
  </si>
  <si>
    <r>
      <rPr>
        <sz val="10.5"/>
        <color theme="1"/>
        <rFont val="Times New Roman Regular"/>
        <charset val="134"/>
      </rPr>
      <t>L42M</t>
    </r>
  </si>
  <si>
    <r>
      <rPr>
        <sz val="10.5"/>
        <color theme="1"/>
        <rFont val="Times New Roman Regular"/>
        <charset val="134"/>
      </rPr>
      <t>Y827K</t>
    </r>
  </si>
  <si>
    <r>
      <rPr>
        <sz val="10.5"/>
        <color theme="1"/>
        <rFont val="Times New Roman Regular"/>
        <charset val="134"/>
      </rPr>
      <t>T90A</t>
    </r>
  </si>
  <si>
    <r>
      <rPr>
        <sz val="10.5"/>
        <color theme="1"/>
        <rFont val="Times New Roman Regular"/>
        <charset val="134"/>
      </rPr>
      <t>G58L</t>
    </r>
  </si>
  <si>
    <r>
      <rPr>
        <sz val="10.5"/>
        <color theme="1"/>
        <rFont val="Times New Roman Regular"/>
        <charset val="134"/>
      </rPr>
      <t>A984Y</t>
    </r>
  </si>
  <si>
    <r>
      <rPr>
        <sz val="10.5"/>
        <color theme="1"/>
        <rFont val="Times New Roman Regular"/>
        <charset val="134"/>
      </rPr>
      <t>L799V</t>
    </r>
  </si>
  <si>
    <r>
      <rPr>
        <sz val="10.5"/>
        <color theme="1"/>
        <rFont val="Times New Roman Regular"/>
        <charset val="134"/>
      </rPr>
      <t>L946M</t>
    </r>
  </si>
  <si>
    <r>
      <rPr>
        <sz val="10.5"/>
        <color theme="1"/>
        <rFont val="Times New Roman Regular"/>
        <charset val="134"/>
      </rPr>
      <t>H1165K</t>
    </r>
  </si>
  <si>
    <r>
      <rPr>
        <sz val="10.5"/>
        <color theme="1"/>
        <rFont val="Times New Roman Regular"/>
        <charset val="134"/>
      </rPr>
      <t>L72V</t>
    </r>
  </si>
  <si>
    <r>
      <rPr>
        <b/>
        <sz val="10.5"/>
        <color theme="1"/>
        <rFont val="Times New Roman Bold"/>
        <charset val="134"/>
      </rPr>
      <t>L841A</t>
    </r>
  </si>
  <si>
    <r>
      <rPr>
        <sz val="10.5"/>
        <color theme="1"/>
        <rFont val="Times New Roman Regular"/>
        <charset val="134"/>
      </rPr>
      <t>L240T</t>
    </r>
  </si>
  <si>
    <r>
      <rPr>
        <sz val="10.5"/>
        <color theme="1"/>
        <rFont val="Times New Roman Regular"/>
        <charset val="134"/>
      </rPr>
      <t>D862A</t>
    </r>
  </si>
  <si>
    <r>
      <rPr>
        <sz val="10.5"/>
        <color theme="1"/>
        <rFont val="Times New Roman Regular"/>
        <charset val="134"/>
      </rPr>
      <t>Q1056K</t>
    </r>
  </si>
  <si>
    <r>
      <rPr>
        <sz val="10.5"/>
        <color theme="1"/>
        <rFont val="Times New Roman Regular"/>
        <charset val="134"/>
      </rPr>
      <t>Q191H</t>
    </r>
  </si>
  <si>
    <r>
      <rPr>
        <sz val="10.5"/>
        <color theme="1"/>
        <rFont val="Times New Roman Regular"/>
        <charset val="134"/>
      </rPr>
      <t>Q584G</t>
    </r>
  </si>
  <si>
    <r>
      <rPr>
        <sz val="10.5"/>
        <color theme="1"/>
        <rFont val="Times New Roman Regular"/>
        <charset val="134"/>
      </rPr>
      <t>N625K</t>
    </r>
  </si>
  <si>
    <r>
      <rPr>
        <sz val="10.5"/>
        <color theme="1"/>
        <rFont val="Times New Roman Regular"/>
        <charset val="134"/>
      </rPr>
      <t>T836G</t>
    </r>
  </si>
  <si>
    <r>
      <rPr>
        <sz val="10.5"/>
        <color theme="1"/>
        <rFont val="Times New Roman Regular"/>
        <charset val="134"/>
      </rPr>
      <t>H784T</t>
    </r>
  </si>
  <si>
    <r>
      <rPr>
        <sz val="10.5"/>
        <color theme="1"/>
        <rFont val="Times New Roman Regular"/>
        <charset val="134"/>
      </rPr>
      <t>A743N</t>
    </r>
  </si>
  <si>
    <r>
      <rPr>
        <sz val="10.5"/>
        <color theme="1"/>
        <rFont val="Times New Roman Regular"/>
        <charset val="134"/>
      </rPr>
      <t>N167S</t>
    </r>
  </si>
  <si>
    <r>
      <rPr>
        <sz val="10.5"/>
        <color theme="1"/>
        <rFont val="Times New Roman Regular"/>
        <charset val="134"/>
      </rPr>
      <t>E1048M</t>
    </r>
  </si>
  <si>
    <r>
      <rPr>
        <b/>
        <sz val="10.5"/>
        <color theme="1"/>
        <rFont val="Times New Roman Bold"/>
        <charset val="134"/>
      </rPr>
      <t>H1117A</t>
    </r>
  </si>
  <si>
    <r>
      <rPr>
        <sz val="10.5"/>
        <color theme="1"/>
        <rFont val="Times New Roman Regular"/>
        <charset val="134"/>
      </rPr>
      <t>Q584S</t>
    </r>
  </si>
  <si>
    <r>
      <rPr>
        <sz val="10.5"/>
        <color theme="1"/>
        <rFont val="Times New Roman Regular"/>
        <charset val="134"/>
      </rPr>
      <t>G58M</t>
    </r>
  </si>
  <si>
    <r>
      <rPr>
        <sz val="10.5"/>
        <color theme="1"/>
        <rFont val="Times New Roman Regular"/>
        <charset val="134"/>
      </rPr>
      <t>E508A</t>
    </r>
  </si>
  <si>
    <r>
      <rPr>
        <sz val="10.5"/>
        <color theme="1"/>
        <rFont val="Times New Roman Regular"/>
        <charset val="134"/>
      </rPr>
      <t>N167K</t>
    </r>
  </si>
  <si>
    <r>
      <rPr>
        <sz val="10.5"/>
        <color theme="1"/>
        <rFont val="Times New Roman Regular"/>
        <charset val="134"/>
      </rPr>
      <t>N506S</t>
    </r>
  </si>
  <si>
    <r>
      <rPr>
        <sz val="10.5"/>
        <color theme="1"/>
        <rFont val="Times New Roman Regular"/>
        <charset val="134"/>
      </rPr>
      <t>Q1144V</t>
    </r>
  </si>
  <si>
    <r>
      <rPr>
        <sz val="10.5"/>
        <color theme="1"/>
        <rFont val="Times New Roman Regular"/>
        <charset val="134"/>
      </rPr>
      <t>L120C</t>
    </r>
  </si>
  <si>
    <r>
      <rPr>
        <sz val="10.5"/>
        <color theme="1"/>
        <rFont val="Times New Roman Regular"/>
        <charset val="134"/>
      </rPr>
      <t>H1165M</t>
    </r>
  </si>
  <si>
    <r>
      <rPr>
        <sz val="10.5"/>
        <color theme="1"/>
        <rFont val="Times New Roman Regular"/>
        <charset val="134"/>
      </rPr>
      <t>L289A</t>
    </r>
  </si>
  <si>
    <r>
      <rPr>
        <sz val="10.5"/>
        <color theme="1"/>
        <rFont val="Times New Roman Regular"/>
        <charset val="134"/>
      </rPr>
      <t>P35A</t>
    </r>
  </si>
  <si>
    <r>
      <rPr>
        <b/>
        <sz val="10.5"/>
        <color theme="1"/>
        <rFont val="Times New Roman Bold"/>
        <charset val="134"/>
      </rPr>
      <t>Y1096M</t>
    </r>
  </si>
  <si>
    <r>
      <rPr>
        <b/>
        <sz val="10.5"/>
        <color theme="1"/>
        <rFont val="Times New Roman Bold"/>
        <charset val="134"/>
      </rPr>
      <t>L978A</t>
    </r>
  </si>
  <si>
    <r>
      <rPr>
        <sz val="10.5"/>
        <color theme="1"/>
        <rFont val="Times New Roman Regular"/>
        <charset val="134"/>
      </rPr>
      <t>Q353A</t>
    </r>
  </si>
  <si>
    <r>
      <rPr>
        <sz val="10.5"/>
        <color theme="1"/>
        <rFont val="Times New Roman Regular"/>
        <charset val="134"/>
      </rPr>
      <t>Q584A</t>
    </r>
  </si>
  <si>
    <t>L289M</t>
  </si>
  <si>
    <t>L240T</t>
  </si>
  <si>
    <t>N625K</t>
  </si>
  <si>
    <t>T836G</t>
  </si>
  <si>
    <t>Q1056K</t>
  </si>
  <si>
    <t>Q191H</t>
  </si>
  <si>
    <t>T90A</t>
  </si>
  <si>
    <t>L841A</t>
  </si>
  <si>
    <t>Y827K</t>
  </si>
  <si>
    <t>D862A</t>
  </si>
  <si>
    <t>Q584G</t>
  </si>
  <si>
    <r>
      <rPr>
        <sz val="10.5"/>
        <color rgb="FFC00000"/>
        <rFont val="Times New Roman Regular"/>
        <charset val="134"/>
      </rPr>
      <t>F1100M</t>
    </r>
  </si>
  <si>
    <t>Q353A</t>
  </si>
  <si>
    <t>G58M</t>
  </si>
  <si>
    <t>H1117A</t>
  </si>
  <si>
    <t>Q584S</t>
  </si>
  <si>
    <t>P35A</t>
  </si>
  <si>
    <t>E508A</t>
  </si>
  <si>
    <t>L978A</t>
  </si>
  <si>
    <t>L289A</t>
  </si>
  <si>
    <t>E1048M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</si>
</sst>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.0000"/>
    <numFmt numFmtId="179" formatCode="0.0000_ "/>
  </numFmts>
  <fonts count="3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 Regular"/>
      <charset val="0"/>
    </font>
    <font>
      <sz val="10.5"/>
      <name val="Times New Roman Regular"/>
      <charset val="134"/>
    </font>
    <font>
      <sz val="10"/>
      <name val="Times New Roman Regular"/>
      <charset val="0"/>
    </font>
    <font>
      <sz val="10.5"/>
      <color theme="1"/>
      <name val="Times New Roman Regular"/>
      <charset val="134"/>
    </font>
    <font>
      <sz val="10"/>
      <name val="Arial"/>
      <charset val="0"/>
    </font>
    <font>
      <b/>
      <sz val="10.5"/>
      <color theme="1"/>
      <name val="Times New Roman Bold"/>
      <charset val="134"/>
    </font>
    <font>
      <sz val="11"/>
      <color theme="1"/>
      <name val="Times New Roman Regular"/>
      <charset val="134"/>
    </font>
    <font>
      <sz val="10.5"/>
      <color rgb="FFC00000"/>
      <name val="Times New Roman Regular"/>
      <charset val="134"/>
    </font>
    <font>
      <sz val="11"/>
      <color rgb="FFFF0000"/>
      <name val="宋体"/>
      <charset val="134"/>
      <scheme val="minor"/>
    </font>
    <font>
      <sz val="11"/>
      <color rgb="FFFF0000"/>
      <name val="Times New Roman Regular"/>
      <charset val="134"/>
    </font>
    <font>
      <b/>
      <sz val="11"/>
      <color rgb="FFC00000"/>
      <name val="宋体"/>
      <charset val="134"/>
      <scheme val="minor"/>
    </font>
    <font>
      <sz val="10"/>
      <color rgb="FFFF0000"/>
      <name val="Arial"/>
      <charset val="0"/>
    </font>
    <font>
      <sz val="10"/>
      <color theme="1"/>
      <name val="Arial"/>
      <charset val="0"/>
    </font>
    <font>
      <sz val="11"/>
      <color rgb="FFC00000"/>
      <name val="宋体"/>
      <charset val="134"/>
      <scheme val="minor"/>
    </font>
    <font>
      <sz val="10"/>
      <name val="宋体"/>
      <charset val="0"/>
    </font>
    <font>
      <sz val="10"/>
      <name val="宋体"/>
      <charset val="134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4" applyNumberFormat="0" applyAlignment="0" applyProtection="0">
      <alignment vertical="center"/>
    </xf>
    <xf numFmtId="0" fontId="28" fillId="12" borderId="5" applyNumberFormat="0" applyAlignment="0" applyProtection="0">
      <alignment vertical="center"/>
    </xf>
    <xf numFmtId="0" fontId="29" fillId="12" borderId="4" applyNumberFormat="0" applyAlignment="0" applyProtection="0">
      <alignment vertical="center"/>
    </xf>
    <xf numFmtId="0" fontId="30" fillId="13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2" fillId="2" borderId="0" xfId="0" applyFont="1" applyFill="1" applyAlignme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3" borderId="0" xfId="0" applyFont="1" applyFill="1" applyAlignment="1">
      <alignment horizontal="justify" vertical="center"/>
    </xf>
    <xf numFmtId="0" fontId="2" fillId="5" borderId="0" xfId="0" applyFont="1" applyFill="1" applyAlignment="1"/>
    <xf numFmtId="0" fontId="3" fillId="4" borderId="0" xfId="0" applyFont="1" applyFill="1" applyAlignment="1">
      <alignment horizontal="justify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/>
    <xf numFmtId="0" fontId="5" fillId="0" borderId="0" xfId="0" applyFont="1" applyFill="1" applyAlignment="1">
      <alignment horizontal="justify" vertical="center"/>
    </xf>
    <xf numFmtId="0" fontId="6" fillId="0" borderId="0" xfId="0" applyFont="1" applyFill="1" applyAlignment="1"/>
    <xf numFmtId="177" fontId="6" fillId="0" borderId="0" xfId="0" applyNumberFormat="1" applyFont="1" applyFill="1" applyAlignment="1"/>
    <xf numFmtId="0" fontId="7" fillId="0" borderId="0" xfId="0" applyFont="1" applyFill="1" applyAlignment="1">
      <alignment horizontal="justify" vertical="center"/>
    </xf>
    <xf numFmtId="176" fontId="0" fillId="5" borderId="0" xfId="0" applyNumberFormat="1" applyFill="1">
      <alignment vertical="center"/>
    </xf>
    <xf numFmtId="176" fontId="0" fillId="0" borderId="0" xfId="0" applyNumberFormat="1" applyFill="1" applyAlignment="1">
      <alignment vertical="center"/>
    </xf>
    <xf numFmtId="178" fontId="2" fillId="5" borderId="0" xfId="0" applyNumberFormat="1" applyFont="1" applyFill="1" applyBorder="1" applyAlignment="1"/>
    <xf numFmtId="0" fontId="8" fillId="0" borderId="0" xfId="0" applyFont="1" applyFill="1" applyAlignment="1">
      <alignment vertical="center"/>
    </xf>
    <xf numFmtId="178" fontId="2" fillId="2" borderId="0" xfId="0" applyNumberFormat="1" applyFont="1" applyFill="1" applyBorder="1" applyAlignment="1"/>
    <xf numFmtId="0" fontId="0" fillId="3" borderId="0" xfId="0" applyFill="1" applyAlignment="1">
      <alignment vertical="center"/>
    </xf>
    <xf numFmtId="178" fontId="6" fillId="3" borderId="0" xfId="0" applyNumberFormat="1" applyFont="1" applyFill="1" applyBorder="1" applyAlignment="1"/>
    <xf numFmtId="0" fontId="9" fillId="3" borderId="0" xfId="0" applyFont="1" applyFill="1" applyAlignment="1">
      <alignment horizontal="justify" vertical="center"/>
    </xf>
    <xf numFmtId="0" fontId="10" fillId="4" borderId="0" xfId="0" applyFont="1" applyFill="1" applyAlignment="1">
      <alignment vertical="center"/>
    </xf>
    <xf numFmtId="178" fontId="6" fillId="4" borderId="0" xfId="0" applyNumberFormat="1" applyFont="1" applyFill="1" applyBorder="1" applyAlignment="1"/>
    <xf numFmtId="0" fontId="0" fillId="4" borderId="0" xfId="0" applyFill="1" applyAlignment="1">
      <alignment vertical="center"/>
    </xf>
    <xf numFmtId="0" fontId="5" fillId="4" borderId="0" xfId="0" applyFont="1" applyFill="1" applyAlignment="1">
      <alignment horizontal="justify" vertical="center"/>
    </xf>
    <xf numFmtId="0" fontId="10" fillId="0" borderId="0" xfId="0" applyFont="1" applyFill="1" applyAlignment="1">
      <alignment vertical="center"/>
    </xf>
    <xf numFmtId="179" fontId="8" fillId="5" borderId="0" xfId="0" applyNumberFormat="1" applyFont="1" applyFill="1" applyAlignment="1">
      <alignment vertical="center"/>
    </xf>
    <xf numFmtId="176" fontId="11" fillId="0" borderId="0" xfId="0" applyNumberFormat="1" applyFont="1" applyFill="1" applyAlignment="1">
      <alignment vertical="center"/>
    </xf>
    <xf numFmtId="0" fontId="0" fillId="5" borderId="0" xfId="0" applyFill="1" applyAlignment="1">
      <alignment horizontal="left" vertical="center"/>
    </xf>
    <xf numFmtId="176" fontId="8" fillId="0" borderId="0" xfId="0" applyNumberFormat="1" applyFont="1" applyFill="1" applyAlignment="1">
      <alignment vertical="center"/>
    </xf>
    <xf numFmtId="179" fontId="8" fillId="0" borderId="0" xfId="0" applyNumberFormat="1" applyFont="1" applyFill="1" applyAlignment="1">
      <alignment vertical="center"/>
    </xf>
    <xf numFmtId="179" fontId="8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179" fontId="0" fillId="3" borderId="0" xfId="0" applyNumberFormat="1" applyFill="1" applyAlignment="1">
      <alignment vertical="center"/>
    </xf>
    <xf numFmtId="0" fontId="0" fillId="3" borderId="0" xfId="0" applyFill="1" applyAlignment="1">
      <alignment horizontal="left" vertical="center"/>
    </xf>
    <xf numFmtId="176" fontId="10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79" fontId="0" fillId="4" borderId="0" xfId="0" applyNumberFormat="1" applyFill="1" applyAlignment="1">
      <alignment vertical="center"/>
    </xf>
    <xf numFmtId="0" fontId="0" fillId="4" borderId="0" xfId="0" applyFill="1" applyAlignment="1">
      <alignment horizontal="left" vertical="center"/>
    </xf>
    <xf numFmtId="178" fontId="6" fillId="0" borderId="0" xfId="0" applyNumberFormat="1" applyFont="1" applyFill="1" applyBorder="1" applyAlignment="1"/>
    <xf numFmtId="179" fontId="0" fillId="0" borderId="0" xfId="0" applyNumberFormat="1" applyFill="1" applyAlignment="1">
      <alignment vertical="center"/>
    </xf>
    <xf numFmtId="0" fontId="4" fillId="3" borderId="0" xfId="0" applyFont="1" applyFill="1" applyBorder="1" applyAlignment="1"/>
    <xf numFmtId="179" fontId="6" fillId="0" borderId="0" xfId="0" applyNumberFormat="1" applyFont="1" applyFill="1" applyBorder="1" applyAlignment="1"/>
    <xf numFmtId="0" fontId="4" fillId="0" borderId="0" xfId="0" applyFont="1" applyFill="1" applyAlignment="1"/>
    <xf numFmtId="0" fontId="6" fillId="6" borderId="0" xfId="0" applyFont="1" applyFill="1" applyAlignment="1"/>
    <xf numFmtId="0" fontId="5" fillId="6" borderId="0" xfId="0" applyFont="1" applyFill="1" applyAlignment="1">
      <alignment horizontal="justify" vertical="center"/>
    </xf>
    <xf numFmtId="177" fontId="6" fillId="6" borderId="0" xfId="0" applyNumberFormat="1" applyFont="1" applyFill="1" applyAlignment="1"/>
    <xf numFmtId="0" fontId="6" fillId="2" borderId="0" xfId="0" applyFont="1" applyFill="1" applyAlignment="1"/>
    <xf numFmtId="177" fontId="6" fillId="2" borderId="0" xfId="0" applyNumberFormat="1" applyFont="1" applyFill="1" applyAlignment="1"/>
    <xf numFmtId="0" fontId="5" fillId="2" borderId="0" xfId="0" applyFont="1" applyFill="1" applyAlignment="1">
      <alignment horizontal="justify" vertical="center"/>
    </xf>
    <xf numFmtId="0" fontId="7" fillId="2" borderId="0" xfId="0" applyFont="1" applyFill="1" applyAlignment="1">
      <alignment horizontal="justify" vertical="center"/>
    </xf>
    <xf numFmtId="0" fontId="0" fillId="5" borderId="0" xfId="0" applyFill="1" applyAlignment="1">
      <alignment vertical="center"/>
    </xf>
    <xf numFmtId="0" fontId="7" fillId="5" borderId="0" xfId="0" applyFont="1" applyFill="1" applyAlignment="1">
      <alignment horizontal="justify" vertical="center"/>
    </xf>
    <xf numFmtId="0" fontId="5" fillId="5" borderId="0" xfId="0" applyFont="1" applyFill="1" applyAlignment="1">
      <alignment horizontal="justify" vertical="center"/>
    </xf>
    <xf numFmtId="179" fontId="12" fillId="0" borderId="0" xfId="0" applyNumberFormat="1" applyFont="1" applyFill="1" applyAlignment="1">
      <alignment vertical="center"/>
    </xf>
    <xf numFmtId="176" fontId="6" fillId="0" borderId="0" xfId="0" applyNumberFormat="1" applyFont="1" applyFill="1" applyBorder="1" applyAlignment="1"/>
    <xf numFmtId="176" fontId="13" fillId="0" borderId="0" xfId="0" applyNumberFormat="1" applyFont="1" applyFill="1" applyBorder="1" applyAlignment="1"/>
    <xf numFmtId="176" fontId="14" fillId="0" borderId="0" xfId="0" applyNumberFormat="1" applyFont="1" applyFill="1" applyBorder="1" applyAlignment="1"/>
    <xf numFmtId="176" fontId="15" fillId="0" borderId="0" xfId="0" applyNumberFormat="1" applyFont="1" applyFill="1" applyAlignment="1">
      <alignment vertical="center"/>
    </xf>
    <xf numFmtId="0" fontId="16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17" fillId="6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179" fontId="0" fillId="0" borderId="0" xfId="0" applyNumberFormat="1" applyFill="1" applyAlignment="1">
      <alignment horizontal="left" vertical="center"/>
    </xf>
    <xf numFmtId="0" fontId="1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77" fontId="17" fillId="2" borderId="0" xfId="0" applyNumberFormat="1" applyFont="1" applyFill="1" applyBorder="1" applyAlignment="1">
      <alignment horizontal="left"/>
    </xf>
    <xf numFmtId="177" fontId="6" fillId="2" borderId="0" xfId="0" applyNumberFormat="1" applyFont="1" applyFill="1" applyBorder="1" applyAlignment="1">
      <alignment horizontal="left"/>
    </xf>
    <xf numFmtId="0" fontId="18" fillId="7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5" fillId="8" borderId="0" xfId="0" applyFont="1" applyFill="1" applyAlignment="1">
      <alignment horizontal="justify" vertical="center"/>
    </xf>
    <xf numFmtId="0" fontId="0" fillId="0" borderId="0" xfId="0" applyFill="1" applyAlignment="1">
      <alignment horizontal="right" vertical="center"/>
    </xf>
    <xf numFmtId="0" fontId="7" fillId="9" borderId="0" xfId="0" applyFont="1" applyFill="1" applyAlignment="1">
      <alignment horizontal="justify" vertical="center"/>
    </xf>
    <xf numFmtId="0" fontId="5" fillId="9" borderId="0" xfId="0" applyFont="1" applyFill="1" applyAlignment="1">
      <alignment horizontal="justify" vertical="center"/>
    </xf>
    <xf numFmtId="179" fontId="0" fillId="0" borderId="0" xfId="0" applyNumberFormat="1" applyFill="1" applyAlignment="1">
      <alignment horizontal="right" vertical="center"/>
    </xf>
    <xf numFmtId="178" fontId="6" fillId="0" borderId="0" xfId="0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0" fontId="18" fillId="8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18" fillId="9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opLeftCell="A65" workbookViewId="0">
      <selection activeCell="A89" sqref="A89"/>
    </sheetView>
  </sheetViews>
  <sheetFormatPr defaultColWidth="9.23076923076923" defaultRowHeight="16.8"/>
  <cols>
    <col min="1" max="3" width="9.23076923076923" style="9"/>
    <col min="4" max="5" width="12.9230769230769" style="42"/>
    <col min="6" max="6" width="21.1538461538462" style="16" customWidth="1"/>
    <col min="7" max="7" width="18.1153846153846" style="16" customWidth="1"/>
    <col min="10" max="10" width="9.23076923076923" style="38"/>
    <col min="11" max="13" width="9.23076923076923" style="9"/>
    <col min="14" max="14" width="12.9230769230769" style="9"/>
    <col min="15" max="15" width="12.9230769230769" style="16"/>
  </cols>
  <sheetData>
    <row r="1" spans="5:14">
      <c r="E1" s="42" t="s">
        <v>0</v>
      </c>
      <c r="F1" s="16" t="s">
        <v>1</v>
      </c>
      <c r="G1" s="16" t="s">
        <v>2</v>
      </c>
      <c r="N1" s="9" t="s">
        <v>0</v>
      </c>
    </row>
    <row r="2" spans="1:14">
      <c r="A2" s="43" t="s">
        <v>3</v>
      </c>
      <c r="B2" s="41">
        <v>0.1075</v>
      </c>
      <c r="C2" s="41">
        <v>0.0896</v>
      </c>
      <c r="D2" s="44">
        <v>0.1399</v>
      </c>
      <c r="E2" s="42">
        <f t="shared" ref="E2:E8" si="0">(B2+C2+D2)/3</f>
        <v>0.112333333333333</v>
      </c>
      <c r="F2" s="16">
        <f t="shared" ref="F2:F28" si="1">E2/0.1386</f>
        <v>0.81048581048581</v>
      </c>
      <c r="G2" s="16">
        <f t="shared" ref="G2:G28" si="2">E2/0.0775</f>
        <v>1.4494623655914</v>
      </c>
      <c r="J2" s="61" t="s">
        <v>4</v>
      </c>
      <c r="K2" s="41">
        <v>0.1329</v>
      </c>
      <c r="L2" s="41"/>
      <c r="M2" s="41">
        <v>0.1443</v>
      </c>
      <c r="N2" s="42">
        <f>(K2+M2)/2</f>
        <v>0.1386</v>
      </c>
    </row>
    <row r="3" spans="1:15">
      <c r="A3" s="43" t="s">
        <v>5</v>
      </c>
      <c r="B3" s="41">
        <v>0.1525</v>
      </c>
      <c r="C3" s="41">
        <v>0.1738</v>
      </c>
      <c r="D3" s="44"/>
      <c r="E3" s="56">
        <f>(B3+C3)/2</f>
        <v>0.16315</v>
      </c>
      <c r="F3" s="16">
        <f t="shared" si="1"/>
        <v>1.17712842712843</v>
      </c>
      <c r="G3" s="16">
        <f t="shared" si="2"/>
        <v>2.10516129032258</v>
      </c>
      <c r="J3" s="62" t="s">
        <v>6</v>
      </c>
      <c r="K3" s="41">
        <v>0.0941</v>
      </c>
      <c r="L3" s="41">
        <v>0.0645</v>
      </c>
      <c r="M3" s="41">
        <v>0.074</v>
      </c>
      <c r="N3" s="42">
        <f>(K3+L3+M3)/3</f>
        <v>0.0775333333333333</v>
      </c>
      <c r="O3" s="16">
        <f>N2/N3</f>
        <v>1.78761822871883</v>
      </c>
    </row>
    <row r="4" spans="1:14">
      <c r="A4" s="43" t="s">
        <v>7</v>
      </c>
      <c r="B4" s="41">
        <v>0.0782</v>
      </c>
      <c r="C4" s="41">
        <v>0.0879</v>
      </c>
      <c r="D4" s="44">
        <v>0.0979</v>
      </c>
      <c r="E4" s="42">
        <f t="shared" si="0"/>
        <v>0.088</v>
      </c>
      <c r="F4" s="16">
        <f t="shared" si="1"/>
        <v>0.634920634920635</v>
      </c>
      <c r="G4" s="16">
        <f t="shared" si="2"/>
        <v>1.13548387096774</v>
      </c>
      <c r="J4" s="61" t="s">
        <v>8</v>
      </c>
      <c r="K4" s="41">
        <v>0.0737</v>
      </c>
      <c r="L4" s="41">
        <v>0.0769</v>
      </c>
      <c r="M4" s="41">
        <v>0.0784</v>
      </c>
      <c r="N4" s="42">
        <f>(K4+L4+M4)/3</f>
        <v>0.0763333333333333</v>
      </c>
    </row>
    <row r="5" spans="1:14">
      <c r="A5" s="43" t="s">
        <v>9</v>
      </c>
      <c r="B5" s="41">
        <v>0.0991</v>
      </c>
      <c r="C5" s="41">
        <v>0.1132</v>
      </c>
      <c r="D5" s="44">
        <v>0.1516</v>
      </c>
      <c r="E5" s="42">
        <f t="shared" si="0"/>
        <v>0.1213</v>
      </c>
      <c r="F5" s="16">
        <f t="shared" si="1"/>
        <v>0.875180375180375</v>
      </c>
      <c r="G5" s="16">
        <f t="shared" si="2"/>
        <v>1.56516129032258</v>
      </c>
      <c r="N5" s="42"/>
    </row>
    <row r="6" spans="1:14">
      <c r="A6" s="43" t="s">
        <v>10</v>
      </c>
      <c r="B6" s="41">
        <v>0.0883</v>
      </c>
      <c r="C6" s="41">
        <v>0.0922</v>
      </c>
      <c r="D6" s="44">
        <v>0.1298</v>
      </c>
      <c r="E6" s="42">
        <f t="shared" si="0"/>
        <v>0.103433333333333</v>
      </c>
      <c r="F6" s="16">
        <f t="shared" si="1"/>
        <v>0.746272246272246</v>
      </c>
      <c r="G6" s="16">
        <f t="shared" si="2"/>
        <v>1.33462365591398</v>
      </c>
      <c r="N6" s="42"/>
    </row>
    <row r="7" spans="1:14">
      <c r="A7" s="43" t="s">
        <v>11</v>
      </c>
      <c r="B7" s="41">
        <v>0.1608</v>
      </c>
      <c r="C7" s="41">
        <v>0.1575</v>
      </c>
      <c r="D7" s="44">
        <v>0.1709</v>
      </c>
      <c r="E7" s="56">
        <f t="shared" si="0"/>
        <v>0.163066666666667</v>
      </c>
      <c r="F7" s="16">
        <f t="shared" si="1"/>
        <v>1.17652717652718</v>
      </c>
      <c r="G7" s="16">
        <f t="shared" si="2"/>
        <v>2.10408602150538</v>
      </c>
      <c r="N7" s="42"/>
    </row>
    <row r="8" spans="1:14">
      <c r="A8" s="43" t="s">
        <v>12</v>
      </c>
      <c r="B8" s="41">
        <v>0.0985</v>
      </c>
      <c r="C8" s="41">
        <v>0.1091</v>
      </c>
      <c r="D8" s="44">
        <v>0.1586</v>
      </c>
      <c r="E8" s="42">
        <f t="shared" si="0"/>
        <v>0.122066666666667</v>
      </c>
      <c r="F8" s="16">
        <f t="shared" si="1"/>
        <v>0.880711880711881</v>
      </c>
      <c r="G8" s="16">
        <f t="shared" si="2"/>
        <v>1.57505376344086</v>
      </c>
      <c r="N8" s="42"/>
    </row>
    <row r="9" spans="1:14">
      <c r="A9" s="43" t="s">
        <v>13</v>
      </c>
      <c r="B9" s="41">
        <v>0.2083</v>
      </c>
      <c r="C9" s="41">
        <v>0.162</v>
      </c>
      <c r="E9" s="56">
        <f>(B9+C9)/2</f>
        <v>0.18515</v>
      </c>
      <c r="F9" s="16">
        <f t="shared" si="1"/>
        <v>1.33585858585859</v>
      </c>
      <c r="G9" s="16">
        <f t="shared" si="2"/>
        <v>2.38903225806452</v>
      </c>
      <c r="N9" s="42"/>
    </row>
    <row r="10" spans="1:14">
      <c r="A10" s="43" t="s">
        <v>14</v>
      </c>
      <c r="B10" s="41">
        <v>0.1732</v>
      </c>
      <c r="C10" s="41">
        <v>0.1937</v>
      </c>
      <c r="D10" s="44">
        <v>0.2104</v>
      </c>
      <c r="E10" s="56">
        <f t="shared" ref="E10:E14" si="3">(B10+C10+D10)/3</f>
        <v>0.192433333333333</v>
      </c>
      <c r="F10" s="16">
        <f t="shared" si="1"/>
        <v>1.38840788840789</v>
      </c>
      <c r="G10" s="16">
        <f t="shared" si="2"/>
        <v>2.48301075268817</v>
      </c>
      <c r="N10" s="42"/>
    </row>
    <row r="11" spans="1:14">
      <c r="A11" s="43" t="s">
        <v>15</v>
      </c>
      <c r="B11" s="41">
        <v>0.1359</v>
      </c>
      <c r="C11" s="41">
        <v>0.1122</v>
      </c>
      <c r="D11" s="44">
        <v>0.1438</v>
      </c>
      <c r="E11" s="42">
        <f t="shared" si="3"/>
        <v>0.130633333333333</v>
      </c>
      <c r="F11" s="16">
        <f t="shared" si="1"/>
        <v>0.942520442520443</v>
      </c>
      <c r="G11" s="16">
        <f t="shared" si="2"/>
        <v>1.68559139784946</v>
      </c>
      <c r="N11" s="42"/>
    </row>
    <row r="12" spans="1:14">
      <c r="A12" s="43" t="s">
        <v>16</v>
      </c>
      <c r="B12" s="41">
        <v>0.1234</v>
      </c>
      <c r="C12" s="41">
        <v>0.1409</v>
      </c>
      <c r="D12" s="44">
        <v>0.1094</v>
      </c>
      <c r="E12" s="42">
        <f t="shared" si="3"/>
        <v>0.124566666666667</v>
      </c>
      <c r="F12" s="16">
        <f t="shared" si="1"/>
        <v>0.898749398749399</v>
      </c>
      <c r="G12" s="16">
        <f t="shared" si="2"/>
        <v>1.60731182795699</v>
      </c>
      <c r="N12" s="42"/>
    </row>
    <row r="13" spans="1:14">
      <c r="A13" s="43" t="s">
        <v>17</v>
      </c>
      <c r="B13" s="41">
        <v>0.1236</v>
      </c>
      <c r="C13" s="41">
        <v>0.1057</v>
      </c>
      <c r="D13" s="44">
        <v>0.1325</v>
      </c>
      <c r="E13" s="42">
        <f t="shared" si="3"/>
        <v>0.1206</v>
      </c>
      <c r="F13" s="16">
        <f t="shared" si="1"/>
        <v>0.87012987012987</v>
      </c>
      <c r="G13" s="16">
        <f t="shared" si="2"/>
        <v>1.55612903225806</v>
      </c>
      <c r="N13" s="42"/>
    </row>
    <row r="14" spans="1:14">
      <c r="A14" s="43" t="s">
        <v>18</v>
      </c>
      <c r="B14" s="41">
        <v>0.1738</v>
      </c>
      <c r="C14" s="41">
        <v>0.1792</v>
      </c>
      <c r="D14" s="44">
        <v>0.1025</v>
      </c>
      <c r="E14" s="56">
        <f t="shared" si="3"/>
        <v>0.151833333333333</v>
      </c>
      <c r="F14" s="16">
        <f t="shared" si="1"/>
        <v>1.0954785954786</v>
      </c>
      <c r="G14" s="16">
        <f t="shared" si="2"/>
        <v>1.95913978494624</v>
      </c>
      <c r="N14" s="42"/>
    </row>
    <row r="15" spans="1:14">
      <c r="A15" s="43" t="s">
        <v>19</v>
      </c>
      <c r="B15" s="41">
        <v>0.1172</v>
      </c>
      <c r="C15" s="41">
        <v>0.1302</v>
      </c>
      <c r="D15" s="44"/>
      <c r="E15" s="42">
        <f>(B15+C15)/2</f>
        <v>0.1237</v>
      </c>
      <c r="F15" s="16">
        <f t="shared" si="1"/>
        <v>0.892496392496393</v>
      </c>
      <c r="G15" s="16">
        <f t="shared" si="2"/>
        <v>1.59612903225806</v>
      </c>
      <c r="N15" s="42"/>
    </row>
    <row r="16" spans="1:14">
      <c r="A16" s="43" t="s">
        <v>20</v>
      </c>
      <c r="B16" s="41">
        <v>0.123</v>
      </c>
      <c r="C16" s="41">
        <v>0.1184</v>
      </c>
      <c r="D16" s="44">
        <v>0.1252</v>
      </c>
      <c r="E16" s="42">
        <f t="shared" ref="E16:E19" si="4">(B16+C16+D16)/3</f>
        <v>0.1222</v>
      </c>
      <c r="F16" s="16">
        <f t="shared" si="1"/>
        <v>0.881673881673882</v>
      </c>
      <c r="G16" s="16">
        <f t="shared" si="2"/>
        <v>1.57677419354839</v>
      </c>
      <c r="N16" s="42"/>
    </row>
    <row r="17" spans="1:14">
      <c r="A17" s="43" t="s">
        <v>21</v>
      </c>
      <c r="B17" s="41">
        <v>0.1271</v>
      </c>
      <c r="C17" s="41">
        <v>0.1571</v>
      </c>
      <c r="D17" s="44">
        <v>0.1417</v>
      </c>
      <c r="E17" s="56">
        <f t="shared" si="4"/>
        <v>0.141966666666667</v>
      </c>
      <c r="F17" s="16">
        <f t="shared" si="1"/>
        <v>1.02429052429052</v>
      </c>
      <c r="G17" s="16">
        <f t="shared" si="2"/>
        <v>1.83182795698925</v>
      </c>
      <c r="N17" s="42"/>
    </row>
    <row r="18" spans="1:14">
      <c r="A18" s="43" t="s">
        <v>22</v>
      </c>
      <c r="B18" s="41">
        <v>0.1735</v>
      </c>
      <c r="C18" s="41">
        <v>0.1811</v>
      </c>
      <c r="D18" s="44">
        <v>0.1507</v>
      </c>
      <c r="E18" s="56">
        <f t="shared" si="4"/>
        <v>0.168433333333333</v>
      </c>
      <c r="F18" s="16">
        <f t="shared" si="1"/>
        <v>1.21524771524772</v>
      </c>
      <c r="G18" s="16">
        <f t="shared" si="2"/>
        <v>2.17333333333333</v>
      </c>
      <c r="N18" s="42"/>
    </row>
    <row r="19" spans="1:14">
      <c r="A19" s="43" t="s">
        <v>23</v>
      </c>
      <c r="B19" s="41">
        <v>0.1369</v>
      </c>
      <c r="C19" s="41">
        <v>0.1768</v>
      </c>
      <c r="D19" s="44">
        <v>0.1544</v>
      </c>
      <c r="E19" s="56">
        <f t="shared" si="4"/>
        <v>0.156033333333333</v>
      </c>
      <c r="F19" s="16">
        <f t="shared" si="1"/>
        <v>1.12578162578163</v>
      </c>
      <c r="G19" s="16">
        <f t="shared" si="2"/>
        <v>2.01333333333333</v>
      </c>
      <c r="N19" s="42"/>
    </row>
    <row r="20" spans="1:14">
      <c r="A20" s="43" t="s">
        <v>24</v>
      </c>
      <c r="B20" s="41">
        <v>0.2008</v>
      </c>
      <c r="C20" s="41">
        <v>0.196</v>
      </c>
      <c r="E20" s="56">
        <f t="shared" ref="E20:E25" si="5">(B20+C20)/2</f>
        <v>0.1984</v>
      </c>
      <c r="F20" s="16">
        <f t="shared" si="1"/>
        <v>1.43145743145743</v>
      </c>
      <c r="G20" s="16">
        <f t="shared" si="2"/>
        <v>2.56</v>
      </c>
      <c r="N20" s="42"/>
    </row>
    <row r="21" spans="1:14">
      <c r="A21" s="43" t="s">
        <v>25</v>
      </c>
      <c r="B21" s="41">
        <v>0.1395</v>
      </c>
      <c r="C21" s="41">
        <v>0.1762</v>
      </c>
      <c r="D21" s="44">
        <v>0.1642</v>
      </c>
      <c r="E21" s="56">
        <f t="shared" ref="E21:E24" si="6">(B21+C21+D21)/3</f>
        <v>0.159966666666667</v>
      </c>
      <c r="F21" s="16">
        <f t="shared" si="1"/>
        <v>1.15416065416065</v>
      </c>
      <c r="G21" s="16">
        <f t="shared" si="2"/>
        <v>2.06408602150538</v>
      </c>
      <c r="N21" s="42"/>
    </row>
    <row r="22" spans="1:14">
      <c r="A22" s="43" t="s">
        <v>26</v>
      </c>
      <c r="B22" s="41">
        <v>0.1166</v>
      </c>
      <c r="C22" s="41">
        <v>0.1563</v>
      </c>
      <c r="E22" s="42">
        <f t="shared" si="5"/>
        <v>0.13645</v>
      </c>
      <c r="F22" s="16">
        <f t="shared" si="1"/>
        <v>0.984487734487734</v>
      </c>
      <c r="G22" s="16">
        <f t="shared" si="2"/>
        <v>1.76064516129032</v>
      </c>
      <c r="N22" s="42"/>
    </row>
    <row r="23" spans="1:14">
      <c r="A23" s="43" t="s">
        <v>27</v>
      </c>
      <c r="B23" s="41">
        <v>0.1029</v>
      </c>
      <c r="C23" s="41">
        <v>0.1329</v>
      </c>
      <c r="D23" s="44">
        <v>0.156</v>
      </c>
      <c r="E23" s="42">
        <f t="shared" si="6"/>
        <v>0.1306</v>
      </c>
      <c r="F23" s="16">
        <f t="shared" si="1"/>
        <v>0.942279942279942</v>
      </c>
      <c r="G23" s="16">
        <f t="shared" si="2"/>
        <v>1.68516129032258</v>
      </c>
      <c r="N23" s="42"/>
    </row>
    <row r="24" spans="1:14">
      <c r="A24" s="43" t="s">
        <v>28</v>
      </c>
      <c r="B24" s="41">
        <v>0.0866</v>
      </c>
      <c r="C24" s="41">
        <v>0.0808</v>
      </c>
      <c r="D24" s="44">
        <v>0.0902</v>
      </c>
      <c r="E24" s="42">
        <f t="shared" si="6"/>
        <v>0.0858666666666667</v>
      </c>
      <c r="F24" s="16">
        <f t="shared" si="1"/>
        <v>0.619528619528619</v>
      </c>
      <c r="G24" s="16">
        <f t="shared" si="2"/>
        <v>1.10795698924731</v>
      </c>
      <c r="N24" s="42"/>
    </row>
    <row r="25" spans="1:14">
      <c r="A25" s="43" t="s">
        <v>29</v>
      </c>
      <c r="B25" s="41">
        <v>0.0639</v>
      </c>
      <c r="C25" s="41">
        <v>0.0695</v>
      </c>
      <c r="D25" s="44"/>
      <c r="E25" s="42">
        <f t="shared" si="5"/>
        <v>0.0667</v>
      </c>
      <c r="F25" s="16">
        <f t="shared" si="1"/>
        <v>0.481240981240981</v>
      </c>
      <c r="G25" s="16">
        <f t="shared" si="2"/>
        <v>0.860645161290323</v>
      </c>
      <c r="N25" s="42"/>
    </row>
    <row r="26" spans="1:14">
      <c r="A26" s="43" t="s">
        <v>30</v>
      </c>
      <c r="B26" s="41">
        <v>0.0885</v>
      </c>
      <c r="C26" s="41">
        <v>0.0881</v>
      </c>
      <c r="D26" s="44">
        <v>0.0774</v>
      </c>
      <c r="E26" s="42">
        <f>(B26+C26+D26)/3</f>
        <v>0.0846666666666667</v>
      </c>
      <c r="F26" s="16">
        <f t="shared" si="1"/>
        <v>0.610870610870611</v>
      </c>
      <c r="G26" s="16">
        <f t="shared" si="2"/>
        <v>1.09247311827957</v>
      </c>
      <c r="N26" s="42"/>
    </row>
    <row r="27" spans="1:14">
      <c r="A27" s="43" t="s">
        <v>31</v>
      </c>
      <c r="B27" s="41">
        <v>0.0957</v>
      </c>
      <c r="C27" s="41">
        <v>0.1329</v>
      </c>
      <c r="E27" s="42">
        <f>(B27+C27)/2</f>
        <v>0.1143</v>
      </c>
      <c r="F27" s="16">
        <f t="shared" si="1"/>
        <v>0.824675324675325</v>
      </c>
      <c r="G27" s="16">
        <f t="shared" si="2"/>
        <v>1.47483870967742</v>
      </c>
      <c r="N27" s="42"/>
    </row>
    <row r="28" spans="1:14">
      <c r="A28" s="43" t="s">
        <v>32</v>
      </c>
      <c r="B28" s="41">
        <v>0.1705</v>
      </c>
      <c r="C28" s="41"/>
      <c r="D28" s="44">
        <v>0.126</v>
      </c>
      <c r="E28" s="56">
        <f>(B28+D28)/2</f>
        <v>0.14825</v>
      </c>
      <c r="F28" s="16">
        <f t="shared" si="1"/>
        <v>1.06962481962482</v>
      </c>
      <c r="G28" s="16">
        <f t="shared" si="2"/>
        <v>1.91290322580645</v>
      </c>
      <c r="N28" s="42"/>
    </row>
    <row r="29" spans="1:14">
      <c r="A29" s="45"/>
      <c r="B29" s="41"/>
      <c r="C29" s="41"/>
      <c r="D29" s="44"/>
      <c r="E29" s="56"/>
      <c r="N29" s="42"/>
    </row>
    <row r="30" spans="1:14">
      <c r="A30" s="46" t="s">
        <v>33</v>
      </c>
      <c r="B30" s="41">
        <v>0.0595</v>
      </c>
      <c r="C30" s="41">
        <v>0.0622</v>
      </c>
      <c r="D30" s="41">
        <v>0.0623</v>
      </c>
      <c r="E30" s="42">
        <f t="shared" ref="E30:E57" si="7">(D30+C30+B30)/3</f>
        <v>0.0613333333333333</v>
      </c>
      <c r="F30" s="57">
        <f t="shared" ref="F30:F46" si="8">E30/0.0922</f>
        <v>0.665220535068691</v>
      </c>
      <c r="G30" s="57">
        <f t="shared" ref="G30:G46" si="9">E30/0.0816</f>
        <v>0.751633986928104</v>
      </c>
      <c r="J30" s="63" t="s">
        <v>4</v>
      </c>
      <c r="K30" s="41">
        <v>0.0913</v>
      </c>
      <c r="L30" s="41">
        <v>0.0977</v>
      </c>
      <c r="M30" s="41">
        <v>0.0875</v>
      </c>
      <c r="N30" s="42">
        <f t="shared" ref="N30:N32" si="10">(K30+L30+M30)/3</f>
        <v>0.0921666666666667</v>
      </c>
    </row>
    <row r="31" spans="1:15">
      <c r="A31" s="47" t="s">
        <v>34</v>
      </c>
      <c r="B31" s="41">
        <v>0.1016</v>
      </c>
      <c r="C31" s="41">
        <v>0.112</v>
      </c>
      <c r="D31" s="41">
        <v>0.1018</v>
      </c>
      <c r="E31" s="42">
        <f t="shared" si="7"/>
        <v>0.105133333333333</v>
      </c>
      <c r="F31" s="58">
        <f t="shared" si="8"/>
        <v>1.14027476500362</v>
      </c>
      <c r="G31" s="57">
        <f t="shared" si="9"/>
        <v>1.28839869281046</v>
      </c>
      <c r="J31" s="64">
        <v>2962</v>
      </c>
      <c r="K31" s="41">
        <v>0.0762</v>
      </c>
      <c r="L31" s="41">
        <v>0.0932</v>
      </c>
      <c r="M31" s="41">
        <v>0.0755</v>
      </c>
      <c r="N31" s="42">
        <f t="shared" si="10"/>
        <v>0.0816333333333333</v>
      </c>
      <c r="O31" s="16">
        <f>N30/N31</f>
        <v>1.12903225806452</v>
      </c>
    </row>
    <row r="32" spans="1:14">
      <c r="A32" s="46" t="s">
        <v>35</v>
      </c>
      <c r="B32" s="41">
        <v>0.0866</v>
      </c>
      <c r="C32" s="41">
        <v>0.0759</v>
      </c>
      <c r="D32" s="41">
        <v>0.0813</v>
      </c>
      <c r="E32" s="42">
        <f t="shared" si="7"/>
        <v>0.0812666666666667</v>
      </c>
      <c r="F32" s="57">
        <f t="shared" si="8"/>
        <v>0.881417208966016</v>
      </c>
      <c r="G32" s="57">
        <f t="shared" si="9"/>
        <v>0.995915032679738</v>
      </c>
      <c r="J32" s="63" t="s">
        <v>8</v>
      </c>
      <c r="K32" s="41">
        <v>0.0726</v>
      </c>
      <c r="L32" s="41">
        <v>0.0764</v>
      </c>
      <c r="M32" s="41">
        <v>0.0706</v>
      </c>
      <c r="N32" s="42">
        <f t="shared" si="10"/>
        <v>0.0732</v>
      </c>
    </row>
    <row r="33" spans="1:10">
      <c r="A33" s="46" t="s">
        <v>36</v>
      </c>
      <c r="B33" s="41">
        <v>0.0888</v>
      </c>
      <c r="C33" s="41">
        <v>0.0965</v>
      </c>
      <c r="D33" s="41">
        <v>0.0948</v>
      </c>
      <c r="E33" s="42">
        <f t="shared" si="7"/>
        <v>0.0933666666666667</v>
      </c>
      <c r="F33" s="59">
        <f t="shared" si="8"/>
        <v>1.01265365148228</v>
      </c>
      <c r="G33" s="57">
        <f t="shared" si="9"/>
        <v>1.14419934640523</v>
      </c>
      <c r="J33" s="65"/>
    </row>
    <row r="34" spans="1:14">
      <c r="A34" s="46" t="s">
        <v>37</v>
      </c>
      <c r="B34" s="41">
        <v>0.089</v>
      </c>
      <c r="C34" s="41">
        <v>0.1209</v>
      </c>
      <c r="D34" s="41">
        <v>0.1092</v>
      </c>
      <c r="E34" s="42">
        <f t="shared" si="7"/>
        <v>0.106366666666667</v>
      </c>
      <c r="F34" s="58">
        <f t="shared" si="8"/>
        <v>1.15365148228489</v>
      </c>
      <c r="G34" s="57">
        <f t="shared" si="9"/>
        <v>1.30351307189542</v>
      </c>
      <c r="J34" s="66"/>
      <c r="K34" s="41"/>
      <c r="L34" s="41"/>
      <c r="M34" s="41"/>
      <c r="N34" s="42"/>
    </row>
    <row r="35" spans="1:14">
      <c r="A35" s="46" t="s">
        <v>38</v>
      </c>
      <c r="B35" s="41">
        <v>0.0962</v>
      </c>
      <c r="C35" s="41">
        <v>0.1032</v>
      </c>
      <c r="D35" s="41">
        <v>0.0977</v>
      </c>
      <c r="E35" s="42">
        <f t="shared" si="7"/>
        <v>0.0990333333333333</v>
      </c>
      <c r="F35" s="58">
        <f t="shared" si="8"/>
        <v>1.07411424439624</v>
      </c>
      <c r="G35" s="57">
        <f t="shared" si="9"/>
        <v>1.21364379084967</v>
      </c>
      <c r="J35" s="67"/>
      <c r="K35" s="41"/>
      <c r="L35" s="41"/>
      <c r="M35" s="41"/>
      <c r="N35" s="42"/>
    </row>
    <row r="36" spans="1:14">
      <c r="A36" s="46" t="s">
        <v>39</v>
      </c>
      <c r="B36" s="41">
        <v>0.098</v>
      </c>
      <c r="C36" s="41">
        <v>0.1131</v>
      </c>
      <c r="D36" s="41">
        <v>0.105</v>
      </c>
      <c r="E36" s="42">
        <f t="shared" si="7"/>
        <v>0.105366666666667</v>
      </c>
      <c r="F36" s="58">
        <f t="shared" si="8"/>
        <v>1.14280549530007</v>
      </c>
      <c r="G36" s="57">
        <f t="shared" si="9"/>
        <v>1.29125816993464</v>
      </c>
      <c r="J36" s="66"/>
      <c r="K36" s="41"/>
      <c r="L36" s="41"/>
      <c r="M36" s="41"/>
      <c r="N36" s="42"/>
    </row>
    <row r="37" spans="1:10">
      <c r="A37" s="48" t="s">
        <v>40</v>
      </c>
      <c r="B37" s="41">
        <v>0.0889</v>
      </c>
      <c r="C37" s="41">
        <v>0.0929</v>
      </c>
      <c r="D37" s="41">
        <v>0.1038</v>
      </c>
      <c r="E37" s="42">
        <f t="shared" si="7"/>
        <v>0.0952</v>
      </c>
      <c r="F37" s="58">
        <f t="shared" si="8"/>
        <v>1.03253796095445</v>
      </c>
      <c r="G37" s="57">
        <f t="shared" si="9"/>
        <v>1.16666666666667</v>
      </c>
      <c r="J37" s="65"/>
    </row>
    <row r="38" spans="1:10">
      <c r="A38" s="48" t="s">
        <v>41</v>
      </c>
      <c r="B38" s="41">
        <v>0.0947</v>
      </c>
      <c r="C38" s="41">
        <v>0.1043</v>
      </c>
      <c r="D38" s="41">
        <v>0.1187</v>
      </c>
      <c r="E38" s="42">
        <f t="shared" si="7"/>
        <v>0.1059</v>
      </c>
      <c r="F38" s="58">
        <f t="shared" si="8"/>
        <v>1.14859002169197</v>
      </c>
      <c r="G38" s="57">
        <f t="shared" si="9"/>
        <v>1.29779411764706</v>
      </c>
      <c r="J38" s="65"/>
    </row>
    <row r="39" spans="1:10">
      <c r="A39" s="48" t="s">
        <v>42</v>
      </c>
      <c r="B39" s="41">
        <v>0.0852</v>
      </c>
      <c r="C39" s="41">
        <v>0.1135</v>
      </c>
      <c r="D39" s="41">
        <v>0.0869</v>
      </c>
      <c r="E39" s="42">
        <f t="shared" si="7"/>
        <v>0.0952</v>
      </c>
      <c r="F39" s="58">
        <f t="shared" si="8"/>
        <v>1.03253796095445</v>
      </c>
      <c r="G39" s="57">
        <f t="shared" si="9"/>
        <v>1.16666666666667</v>
      </c>
      <c r="J39" s="65"/>
    </row>
    <row r="40" spans="1:10">
      <c r="A40" s="48" t="s">
        <v>43</v>
      </c>
      <c r="B40" s="41">
        <v>0.097</v>
      </c>
      <c r="C40" s="41">
        <v>0.1016</v>
      </c>
      <c r="D40" s="41">
        <v>0.0988</v>
      </c>
      <c r="E40" s="42">
        <f t="shared" si="7"/>
        <v>0.0991333333333333</v>
      </c>
      <c r="F40" s="58">
        <f t="shared" si="8"/>
        <v>1.07519884309472</v>
      </c>
      <c r="G40" s="57">
        <f t="shared" si="9"/>
        <v>1.21486928104575</v>
      </c>
      <c r="J40" s="65"/>
    </row>
    <row r="41" spans="1:10">
      <c r="A41" s="48" t="s">
        <v>44</v>
      </c>
      <c r="B41" s="41">
        <v>0.0948</v>
      </c>
      <c r="C41" s="41">
        <v>0.1152</v>
      </c>
      <c r="D41" s="41">
        <v>0.0907</v>
      </c>
      <c r="E41" s="42">
        <f t="shared" si="7"/>
        <v>0.100233333333333</v>
      </c>
      <c r="F41" s="58">
        <f t="shared" si="8"/>
        <v>1.08712942877802</v>
      </c>
      <c r="G41" s="57">
        <f t="shared" si="9"/>
        <v>1.22834967320261</v>
      </c>
      <c r="J41" s="65"/>
    </row>
    <row r="42" spans="1:10">
      <c r="A42" s="48" t="s">
        <v>45</v>
      </c>
      <c r="B42" s="41">
        <v>0.071</v>
      </c>
      <c r="C42" s="41">
        <v>0.071</v>
      </c>
      <c r="D42" s="41">
        <v>0.0756</v>
      </c>
      <c r="E42" s="42">
        <f t="shared" si="7"/>
        <v>0.0725333333333333</v>
      </c>
      <c r="F42" s="57">
        <f t="shared" si="8"/>
        <v>0.786695589298626</v>
      </c>
      <c r="G42" s="57">
        <f t="shared" si="9"/>
        <v>0.888888888888889</v>
      </c>
      <c r="J42" s="65"/>
    </row>
    <row r="43" spans="1:10">
      <c r="A43" s="48" t="s">
        <v>46</v>
      </c>
      <c r="B43" s="41">
        <v>0.0786</v>
      </c>
      <c r="C43" s="41">
        <v>0.1039</v>
      </c>
      <c r="D43" s="41">
        <v>0.0842</v>
      </c>
      <c r="E43" s="42">
        <f t="shared" si="7"/>
        <v>0.0889</v>
      </c>
      <c r="F43" s="57">
        <f t="shared" si="8"/>
        <v>0.964208242950108</v>
      </c>
      <c r="G43" s="57">
        <f t="shared" si="9"/>
        <v>1.08946078431373</v>
      </c>
      <c r="J43" s="65"/>
    </row>
    <row r="44" spans="1:10">
      <c r="A44" s="48" t="s">
        <v>47</v>
      </c>
      <c r="B44" s="41">
        <v>0.0641</v>
      </c>
      <c r="C44" s="41">
        <v>0.0638</v>
      </c>
      <c r="D44" s="41">
        <v>0.0648</v>
      </c>
      <c r="E44" s="42">
        <f t="shared" si="7"/>
        <v>0.0642333333333333</v>
      </c>
      <c r="F44" s="57">
        <f t="shared" si="8"/>
        <v>0.696673897324656</v>
      </c>
      <c r="G44" s="57">
        <f t="shared" si="9"/>
        <v>0.787173202614379</v>
      </c>
      <c r="J44" s="65"/>
    </row>
    <row r="45" spans="1:10">
      <c r="A45" s="48" t="s">
        <v>48</v>
      </c>
      <c r="B45" s="41">
        <v>0.071</v>
      </c>
      <c r="C45" s="41">
        <v>0.0701</v>
      </c>
      <c r="D45" s="41">
        <v>0.0734</v>
      </c>
      <c r="E45" s="42">
        <f t="shared" si="7"/>
        <v>0.0715</v>
      </c>
      <c r="F45" s="57">
        <f t="shared" si="8"/>
        <v>0.775488069414317</v>
      </c>
      <c r="G45" s="57">
        <f t="shared" si="9"/>
        <v>0.876225490196078</v>
      </c>
      <c r="J45" s="65"/>
    </row>
    <row r="46" spans="1:10">
      <c r="A46" s="48" t="s">
        <v>49</v>
      </c>
      <c r="B46" s="41">
        <v>0.0687</v>
      </c>
      <c r="C46" s="41">
        <v>0.071</v>
      </c>
      <c r="D46" s="41">
        <v>0.0758</v>
      </c>
      <c r="E46" s="42">
        <f t="shared" si="7"/>
        <v>0.0718333333333333</v>
      </c>
      <c r="F46" s="57">
        <f t="shared" si="8"/>
        <v>0.779103398409255</v>
      </c>
      <c r="G46" s="57">
        <f t="shared" si="9"/>
        <v>0.88031045751634</v>
      </c>
      <c r="J46" s="65"/>
    </row>
    <row r="47" spans="1:14">
      <c r="A47" s="46" t="s">
        <v>50</v>
      </c>
      <c r="B47" s="41">
        <v>0.0724</v>
      </c>
      <c r="C47" s="41">
        <v>0.066</v>
      </c>
      <c r="D47" s="41">
        <v>0.0653</v>
      </c>
      <c r="E47" s="42">
        <f t="shared" si="7"/>
        <v>0.0679</v>
      </c>
      <c r="F47" s="57">
        <f>E47/0.0825</f>
        <v>0.823030303030303</v>
      </c>
      <c r="G47" s="57">
        <f>E47/0.0645</f>
        <v>1.05271317829457</v>
      </c>
      <c r="J47" s="65"/>
      <c r="N47" s="9" t="s">
        <v>0</v>
      </c>
    </row>
    <row r="48" spans="1:10">
      <c r="A48" s="12"/>
      <c r="B48" s="41"/>
      <c r="C48" s="41"/>
      <c r="D48" s="41"/>
      <c r="F48" s="57"/>
      <c r="G48" s="57"/>
      <c r="J48" s="65"/>
    </row>
    <row r="49" spans="1:14">
      <c r="A49" s="49" t="s">
        <v>51</v>
      </c>
      <c r="B49" s="41">
        <v>0.0756</v>
      </c>
      <c r="C49" s="41">
        <v>0.0765</v>
      </c>
      <c r="D49" s="41">
        <v>0.0687</v>
      </c>
      <c r="E49" s="42">
        <f t="shared" ref="E49:E58" si="11">(D49+C49+B49)/3</f>
        <v>0.0736</v>
      </c>
      <c r="F49" s="57">
        <f t="shared" ref="F49:F58" si="12">E49/0.0825</f>
        <v>0.892121212121212</v>
      </c>
      <c r="G49" s="57">
        <f t="shared" ref="G49:G58" si="13">E49/0.0645</f>
        <v>1.14108527131783</v>
      </c>
      <c r="J49" s="68" t="s">
        <v>4</v>
      </c>
      <c r="K49" s="41">
        <v>0.0896</v>
      </c>
      <c r="L49" s="41">
        <v>0.0726</v>
      </c>
      <c r="M49" s="41">
        <v>0.0852</v>
      </c>
      <c r="N49" s="42">
        <f t="shared" ref="N49:N51" si="14">(K49+L49+M49)/3</f>
        <v>0.0824666666666667</v>
      </c>
    </row>
    <row r="50" spans="1:15">
      <c r="A50" s="49" t="s">
        <v>52</v>
      </c>
      <c r="B50" s="41">
        <v>0.0741</v>
      </c>
      <c r="C50" s="41">
        <v>0.0795</v>
      </c>
      <c r="D50" s="41">
        <v>0.0705</v>
      </c>
      <c r="E50" s="42">
        <f t="shared" si="11"/>
        <v>0.0747</v>
      </c>
      <c r="F50" s="57">
        <f t="shared" si="12"/>
        <v>0.905454545454545</v>
      </c>
      <c r="G50" s="57">
        <f t="shared" si="13"/>
        <v>1.15813953488372</v>
      </c>
      <c r="J50" s="69">
        <v>2962</v>
      </c>
      <c r="K50" s="41">
        <v>0.064</v>
      </c>
      <c r="L50" s="41">
        <v>0.065</v>
      </c>
      <c r="M50" s="41">
        <v>0.0645</v>
      </c>
      <c r="N50" s="42">
        <f t="shared" si="14"/>
        <v>0.0645</v>
      </c>
      <c r="O50" s="16">
        <f>N49/N50</f>
        <v>1.27855297157623</v>
      </c>
    </row>
    <row r="51" spans="1:14">
      <c r="A51" s="49" t="s">
        <v>53</v>
      </c>
      <c r="B51" s="41">
        <v>0.0742</v>
      </c>
      <c r="C51" s="41">
        <v>0.0895</v>
      </c>
      <c r="D51" s="41">
        <v>0.0758</v>
      </c>
      <c r="E51" s="42">
        <f t="shared" si="11"/>
        <v>0.0798333333333333</v>
      </c>
      <c r="F51" s="57">
        <f t="shared" si="12"/>
        <v>0.967676767676768</v>
      </c>
      <c r="G51" s="57">
        <f t="shared" si="13"/>
        <v>1.23772609819121</v>
      </c>
      <c r="J51" s="68" t="s">
        <v>8</v>
      </c>
      <c r="K51" s="41">
        <v>0.0655</v>
      </c>
      <c r="L51" s="41">
        <v>0.0649</v>
      </c>
      <c r="M51" s="41">
        <v>0.0688</v>
      </c>
      <c r="N51" s="42">
        <f t="shared" si="14"/>
        <v>0.0664</v>
      </c>
    </row>
    <row r="52" spans="1:11">
      <c r="A52" s="49" t="s">
        <v>54</v>
      </c>
      <c r="B52" s="41">
        <v>0.0777</v>
      </c>
      <c r="C52" s="41">
        <v>0.0708</v>
      </c>
      <c r="D52" s="41">
        <v>0.0739</v>
      </c>
      <c r="E52" s="42">
        <f t="shared" si="11"/>
        <v>0.0741333333333333</v>
      </c>
      <c r="F52" s="57">
        <f t="shared" si="12"/>
        <v>0.898585858585858</v>
      </c>
      <c r="G52" s="57">
        <f t="shared" si="13"/>
        <v>1.14935400516796</v>
      </c>
      <c r="J52" s="65"/>
      <c r="K52" s="42"/>
    </row>
    <row r="53" spans="1:11">
      <c r="A53" s="49" t="s">
        <v>55</v>
      </c>
      <c r="B53" s="41">
        <v>0.0852</v>
      </c>
      <c r="C53" s="41">
        <v>0.0774</v>
      </c>
      <c r="D53" s="41">
        <v>0.0711</v>
      </c>
      <c r="E53" s="42">
        <f t="shared" si="11"/>
        <v>0.0779</v>
      </c>
      <c r="F53" s="57">
        <f t="shared" si="12"/>
        <v>0.944242424242424</v>
      </c>
      <c r="G53" s="57">
        <f t="shared" si="13"/>
        <v>1.2077519379845</v>
      </c>
      <c r="J53" s="65"/>
      <c r="K53" s="42"/>
    </row>
    <row r="54" spans="1:11">
      <c r="A54" s="49" t="s">
        <v>56</v>
      </c>
      <c r="B54" s="41">
        <v>0.0631</v>
      </c>
      <c r="C54" s="41">
        <v>0.0641</v>
      </c>
      <c r="D54" s="41">
        <v>0.0646</v>
      </c>
      <c r="E54" s="42">
        <f t="shared" si="11"/>
        <v>0.0639333333333333</v>
      </c>
      <c r="F54" s="57">
        <f t="shared" si="12"/>
        <v>0.774949494949495</v>
      </c>
      <c r="G54" s="57">
        <f t="shared" si="13"/>
        <v>0.991214470284238</v>
      </c>
      <c r="J54" s="65"/>
      <c r="K54" s="42"/>
    </row>
    <row r="55" spans="1:11">
      <c r="A55" s="50" t="s">
        <v>57</v>
      </c>
      <c r="B55" s="41">
        <v>0.0676</v>
      </c>
      <c r="C55" s="41">
        <v>0.0737</v>
      </c>
      <c r="D55" s="41">
        <v>0.0743</v>
      </c>
      <c r="E55" s="42">
        <f t="shared" si="11"/>
        <v>0.0718666666666667</v>
      </c>
      <c r="F55" s="57">
        <f t="shared" si="12"/>
        <v>0.871111111111111</v>
      </c>
      <c r="G55" s="57">
        <f t="shared" si="13"/>
        <v>1.11421188630491</v>
      </c>
      <c r="J55" s="65"/>
      <c r="K55" s="42"/>
    </row>
    <row r="56" spans="1:11">
      <c r="A56" s="50" t="s">
        <v>58</v>
      </c>
      <c r="B56" s="41">
        <v>0.0668</v>
      </c>
      <c r="C56" s="41">
        <v>0.0661</v>
      </c>
      <c r="D56" s="41">
        <v>0.0686</v>
      </c>
      <c r="E56" s="42">
        <f t="shared" si="11"/>
        <v>0.0671666666666667</v>
      </c>
      <c r="F56" s="57">
        <f t="shared" si="12"/>
        <v>0.814141414141414</v>
      </c>
      <c r="G56" s="57">
        <f t="shared" si="13"/>
        <v>1.04134366925065</v>
      </c>
      <c r="J56" s="65"/>
      <c r="K56" s="42"/>
    </row>
    <row r="57" spans="1:11">
      <c r="A57" s="51" t="s">
        <v>59</v>
      </c>
      <c r="B57" s="41">
        <v>0.0858</v>
      </c>
      <c r="C57" s="41">
        <v>0.0816</v>
      </c>
      <c r="D57" s="41">
        <v>0.0728</v>
      </c>
      <c r="E57" s="42">
        <f t="shared" si="11"/>
        <v>0.0800666666666667</v>
      </c>
      <c r="F57" s="57">
        <f t="shared" si="12"/>
        <v>0.970505050505051</v>
      </c>
      <c r="G57" s="57">
        <f t="shared" si="13"/>
        <v>1.24134366925065</v>
      </c>
      <c r="J57" s="65"/>
      <c r="K57" s="42"/>
    </row>
    <row r="58" spans="1:11">
      <c r="A58" s="51" t="s">
        <v>60</v>
      </c>
      <c r="B58" s="41">
        <v>0.0731</v>
      </c>
      <c r="C58" s="41">
        <v>0.0741</v>
      </c>
      <c r="D58" s="41">
        <v>0.0772</v>
      </c>
      <c r="E58" s="42">
        <f t="shared" si="11"/>
        <v>0.0748</v>
      </c>
      <c r="F58" s="57">
        <f t="shared" si="12"/>
        <v>0.906666666666667</v>
      </c>
      <c r="G58" s="57">
        <f t="shared" si="13"/>
        <v>1.15968992248062</v>
      </c>
      <c r="J58" s="65"/>
      <c r="K58" s="42"/>
    </row>
    <row r="59" spans="1:14">
      <c r="A59" s="52" t="s">
        <v>61</v>
      </c>
      <c r="B59" s="41">
        <v>0.1103</v>
      </c>
      <c r="C59" s="41">
        <v>0.1264</v>
      </c>
      <c r="D59" s="41">
        <v>0.1191</v>
      </c>
      <c r="E59" s="42">
        <f>(B59+C59+D59)/3</f>
        <v>0.1186</v>
      </c>
      <c r="F59" s="16">
        <f>E59/0.1341</f>
        <v>0.88441461595824</v>
      </c>
      <c r="G59" s="16">
        <f>E59/0.0882</f>
        <v>1.34467120181406</v>
      </c>
      <c r="N59" s="9" t="s">
        <v>0</v>
      </c>
    </row>
    <row r="60" spans="1:4">
      <c r="A60" s="14"/>
      <c r="B60" s="41"/>
      <c r="C60" s="41"/>
      <c r="D60" s="41"/>
    </row>
    <row r="61" spans="1:14">
      <c r="A61" s="53" t="s">
        <v>62</v>
      </c>
      <c r="B61" s="41">
        <v>0.1511</v>
      </c>
      <c r="C61" s="41">
        <v>0.1076</v>
      </c>
      <c r="D61" s="41">
        <v>0.1474</v>
      </c>
      <c r="E61" s="42">
        <f>(B61+C61+D61)/3</f>
        <v>0.135366666666667</v>
      </c>
      <c r="F61" s="60">
        <f t="shared" ref="F61:F72" si="15">E61/0.1341</f>
        <v>1.00944568729804</v>
      </c>
      <c r="G61" s="16">
        <f t="shared" ref="G61:G72" si="16">E61/0.0882</f>
        <v>1.53476946334089</v>
      </c>
      <c r="J61" s="70" t="s">
        <v>4</v>
      </c>
      <c r="K61" s="41">
        <v>0.128</v>
      </c>
      <c r="L61" s="41">
        <v>0.1372</v>
      </c>
      <c r="M61" s="41">
        <v>0.1372</v>
      </c>
      <c r="N61" s="42">
        <f t="shared" ref="N61:N63" si="17">(M61+L61+K61)/3</f>
        <v>0.134133333333333</v>
      </c>
    </row>
    <row r="62" spans="1:15">
      <c r="A62" s="54" t="s">
        <v>63</v>
      </c>
      <c r="B62" s="41">
        <v>0.0886</v>
      </c>
      <c r="C62" s="41">
        <v>0.1555</v>
      </c>
      <c r="D62" s="41">
        <v>0.106</v>
      </c>
      <c r="E62" s="42">
        <f>(B62+C62+D62)/3</f>
        <v>0.1167</v>
      </c>
      <c r="F62" s="16">
        <f t="shared" si="15"/>
        <v>0.870246085011186</v>
      </c>
      <c r="G62" s="16">
        <f t="shared" si="16"/>
        <v>1.32312925170068</v>
      </c>
      <c r="J62" s="71">
        <v>2962</v>
      </c>
      <c r="K62" s="41">
        <v>0.0904</v>
      </c>
      <c r="L62" s="41">
        <v>0.1082</v>
      </c>
      <c r="M62" s="41">
        <v>0.0659</v>
      </c>
      <c r="N62" s="42">
        <f t="shared" si="17"/>
        <v>0.0881666666666667</v>
      </c>
      <c r="O62" s="16">
        <f>N61/N62</f>
        <v>1.52136105860113</v>
      </c>
    </row>
    <row r="63" spans="1:14">
      <c r="A63" s="55" t="s">
        <v>64</v>
      </c>
      <c r="B63" s="41">
        <v>0.1325</v>
      </c>
      <c r="C63" s="41">
        <v>0.1304</v>
      </c>
      <c r="D63" s="41">
        <v>0.1279</v>
      </c>
      <c r="E63" s="42">
        <f>(B63+C63+D63)/3</f>
        <v>0.130266666666667</v>
      </c>
      <c r="F63" s="16">
        <f t="shared" si="15"/>
        <v>0.971414367387522</v>
      </c>
      <c r="G63" s="16">
        <f t="shared" si="16"/>
        <v>1.47694633408919</v>
      </c>
      <c r="J63" s="70" t="s">
        <v>8</v>
      </c>
      <c r="K63" s="41">
        <v>0.0688</v>
      </c>
      <c r="L63" s="41">
        <v>0.0689</v>
      </c>
      <c r="M63" s="41">
        <v>0.0652</v>
      </c>
      <c r="N63" s="42">
        <f t="shared" si="17"/>
        <v>0.0676333333333333</v>
      </c>
    </row>
    <row r="64" spans="1:14">
      <c r="A64" s="55" t="s">
        <v>65</v>
      </c>
      <c r="B64" s="41">
        <v>0.118</v>
      </c>
      <c r="C64" s="41">
        <v>0.162</v>
      </c>
      <c r="E64" s="42">
        <f>(B64+C64)/2</f>
        <v>0.14</v>
      </c>
      <c r="F64" s="60">
        <f t="shared" si="15"/>
        <v>1.04399701715138</v>
      </c>
      <c r="G64" s="16">
        <f t="shared" si="16"/>
        <v>1.58730158730159</v>
      </c>
      <c r="N64" s="42"/>
    </row>
    <row r="65" spans="1:14">
      <c r="A65" s="55" t="s">
        <v>66</v>
      </c>
      <c r="B65" s="41">
        <v>0.1508</v>
      </c>
      <c r="C65" s="41">
        <v>0.1436</v>
      </c>
      <c r="D65" s="41">
        <v>0.1394</v>
      </c>
      <c r="E65" s="42">
        <f t="shared" ref="E65:E73" si="18">(B65+C65+D65)/3</f>
        <v>0.1446</v>
      </c>
      <c r="F65" s="60">
        <f t="shared" si="15"/>
        <v>1.07829977628635</v>
      </c>
      <c r="G65" s="16">
        <f t="shared" si="16"/>
        <v>1.63945578231292</v>
      </c>
      <c r="J65" s="78"/>
      <c r="K65" s="41"/>
      <c r="L65" s="41"/>
      <c r="M65" s="41"/>
      <c r="N65" s="42"/>
    </row>
    <row r="66" spans="1:14">
      <c r="A66" s="55" t="s">
        <v>67</v>
      </c>
      <c r="B66" s="41">
        <v>0.0983</v>
      </c>
      <c r="C66" s="41">
        <v>0.1047</v>
      </c>
      <c r="D66" s="41">
        <v>0.1314</v>
      </c>
      <c r="E66" s="42">
        <f t="shared" si="18"/>
        <v>0.111466666666667</v>
      </c>
      <c r="F66" s="16">
        <f t="shared" si="15"/>
        <v>0.831220482227194</v>
      </c>
      <c r="G66" s="16">
        <f t="shared" si="16"/>
        <v>1.26379440665155</v>
      </c>
      <c r="N66" s="42"/>
    </row>
    <row r="67" spans="1:14">
      <c r="A67" s="55" t="s">
        <v>68</v>
      </c>
      <c r="B67" s="41">
        <v>0.0956</v>
      </c>
      <c r="C67" s="41">
        <v>0.0876</v>
      </c>
      <c r="D67" s="41">
        <v>0.1021</v>
      </c>
      <c r="E67" s="42">
        <f t="shared" si="18"/>
        <v>0.0951</v>
      </c>
      <c r="F67" s="16">
        <f t="shared" si="15"/>
        <v>0.70917225950783</v>
      </c>
      <c r="G67" s="16">
        <f t="shared" si="16"/>
        <v>1.07823129251701</v>
      </c>
      <c r="N67" s="42"/>
    </row>
    <row r="68" spans="1:14">
      <c r="A68" s="55" t="s">
        <v>69</v>
      </c>
      <c r="B68" s="41">
        <v>0.1237</v>
      </c>
      <c r="C68" s="41">
        <v>0.1045</v>
      </c>
      <c r="D68" s="41">
        <v>0.0858</v>
      </c>
      <c r="E68" s="42">
        <f t="shared" si="18"/>
        <v>0.104666666666667</v>
      </c>
      <c r="F68" s="16">
        <f t="shared" si="15"/>
        <v>0.780512055679841</v>
      </c>
      <c r="G68" s="16">
        <f t="shared" si="16"/>
        <v>1.18669690098262</v>
      </c>
      <c r="N68" s="42"/>
    </row>
    <row r="69" spans="1:14">
      <c r="A69" s="55" t="s">
        <v>70</v>
      </c>
      <c r="B69" s="41">
        <v>0.0959</v>
      </c>
      <c r="C69" s="41">
        <v>0.1049</v>
      </c>
      <c r="D69" s="41">
        <v>0.1033</v>
      </c>
      <c r="E69" s="42">
        <f t="shared" si="18"/>
        <v>0.101366666666667</v>
      </c>
      <c r="F69" s="16">
        <f t="shared" si="15"/>
        <v>0.755903554561273</v>
      </c>
      <c r="G69" s="16">
        <f t="shared" si="16"/>
        <v>1.14928193499622</v>
      </c>
      <c r="N69" s="42"/>
    </row>
    <row r="70" spans="1:14">
      <c r="A70" s="55" t="s">
        <v>71</v>
      </c>
      <c r="B70" s="41">
        <v>0.1246</v>
      </c>
      <c r="C70" s="41">
        <v>0.0897</v>
      </c>
      <c r="D70" s="41">
        <v>0.1391</v>
      </c>
      <c r="E70" s="42">
        <f t="shared" si="18"/>
        <v>0.1178</v>
      </c>
      <c r="F70" s="16">
        <f t="shared" si="15"/>
        <v>0.878448918717375</v>
      </c>
      <c r="G70" s="16">
        <f t="shared" si="16"/>
        <v>1.33560090702948</v>
      </c>
      <c r="N70" s="42"/>
    </row>
    <row r="71" spans="1:14">
      <c r="A71" s="55" t="s">
        <v>72</v>
      </c>
      <c r="B71" s="41">
        <v>0.1259</v>
      </c>
      <c r="C71" s="41">
        <v>0.1188</v>
      </c>
      <c r="D71" s="41">
        <v>0.0959</v>
      </c>
      <c r="E71" s="42">
        <f t="shared" si="18"/>
        <v>0.113533333333333</v>
      </c>
      <c r="F71" s="16">
        <f t="shared" si="15"/>
        <v>0.846631866766095</v>
      </c>
      <c r="G71" s="16">
        <f t="shared" si="16"/>
        <v>1.28722600151172</v>
      </c>
      <c r="N71" s="42"/>
    </row>
    <row r="72" spans="1:14">
      <c r="A72" s="54" t="s">
        <v>73</v>
      </c>
      <c r="B72" s="41">
        <v>0.139</v>
      </c>
      <c r="C72" s="41">
        <v>0.146</v>
      </c>
      <c r="D72" s="41">
        <v>0.157</v>
      </c>
      <c r="E72" s="42">
        <f t="shared" si="18"/>
        <v>0.147333333333333</v>
      </c>
      <c r="F72" s="60">
        <f t="shared" si="15"/>
        <v>1.09868257519264</v>
      </c>
      <c r="G72" s="16">
        <f t="shared" si="16"/>
        <v>1.67044595616024</v>
      </c>
      <c r="N72" s="42"/>
    </row>
    <row r="73" spans="1:14">
      <c r="A73" s="55" t="s">
        <v>74</v>
      </c>
      <c r="B73" s="41">
        <v>0.1006</v>
      </c>
      <c r="C73" s="41">
        <v>0.1224</v>
      </c>
      <c r="D73" s="41">
        <v>0.1604</v>
      </c>
      <c r="E73" s="42">
        <f t="shared" si="18"/>
        <v>0.1278</v>
      </c>
      <c r="F73" s="60">
        <f>E73/0.1077</f>
        <v>1.1866295264624</v>
      </c>
      <c r="G73" s="16">
        <f>E73/0.0988</f>
        <v>1.29352226720648</v>
      </c>
      <c r="N73" s="42"/>
    </row>
    <row r="74" spans="1:14">
      <c r="A74" s="11"/>
      <c r="B74" s="41"/>
      <c r="C74" s="41"/>
      <c r="D74" s="41"/>
      <c r="F74" s="60"/>
      <c r="N74" s="42"/>
    </row>
    <row r="75" spans="1:14">
      <c r="A75" s="72" t="s">
        <v>75</v>
      </c>
      <c r="B75" s="41">
        <v>0.1282</v>
      </c>
      <c r="C75" s="41">
        <v>0.1118</v>
      </c>
      <c r="D75" s="41">
        <v>0.0921</v>
      </c>
      <c r="E75" s="42">
        <f t="shared" ref="E75:E99" si="19">(B75+C75+D75)/3</f>
        <v>0.1107</v>
      </c>
      <c r="F75" s="60">
        <f t="shared" ref="F75:F83" si="20">E75/0.1077</f>
        <v>1.02785515320334</v>
      </c>
      <c r="G75" s="16">
        <f t="shared" ref="G75:G83" si="21">E75/0.0988</f>
        <v>1.12044534412955</v>
      </c>
      <c r="J75" s="79" t="s">
        <v>4</v>
      </c>
      <c r="K75" s="41">
        <v>0.0953</v>
      </c>
      <c r="L75" s="41">
        <v>0.1148</v>
      </c>
      <c r="M75" s="41">
        <v>0.1131</v>
      </c>
      <c r="N75" s="42">
        <f t="shared" ref="N75:N77" si="22">(M75+L75+K75)/3</f>
        <v>0.107733333333333</v>
      </c>
    </row>
    <row r="76" spans="1:15">
      <c r="A76" s="72" t="s">
        <v>76</v>
      </c>
      <c r="B76" s="41">
        <v>0.1495</v>
      </c>
      <c r="C76" s="41">
        <v>0.1609</v>
      </c>
      <c r="D76" s="41">
        <v>0.1413</v>
      </c>
      <c r="E76" s="42">
        <f t="shared" si="19"/>
        <v>0.150566666666667</v>
      </c>
      <c r="F76" s="60">
        <f t="shared" si="20"/>
        <v>1.39801918910554</v>
      </c>
      <c r="G76" s="16">
        <f t="shared" si="21"/>
        <v>1.52395411605938</v>
      </c>
      <c r="J76" s="80">
        <v>2962</v>
      </c>
      <c r="K76" s="41">
        <v>0.0902</v>
      </c>
      <c r="L76" s="41">
        <v>0.116</v>
      </c>
      <c r="M76" s="41">
        <v>0.0901</v>
      </c>
      <c r="N76" s="42">
        <f t="shared" si="22"/>
        <v>0.0987666666666667</v>
      </c>
      <c r="O76" s="16">
        <f>N75/N76</f>
        <v>1.09078636517044</v>
      </c>
    </row>
    <row r="77" spans="1:14">
      <c r="A77" s="72" t="s">
        <v>77</v>
      </c>
      <c r="B77" s="41">
        <v>0.138</v>
      </c>
      <c r="C77" s="41">
        <v>0.1527</v>
      </c>
      <c r="D77" s="41">
        <v>0.1297</v>
      </c>
      <c r="E77" s="42">
        <f t="shared" si="19"/>
        <v>0.140133333333333</v>
      </c>
      <c r="F77" s="60">
        <f t="shared" si="20"/>
        <v>1.30114515629836</v>
      </c>
      <c r="G77" s="16">
        <f t="shared" si="21"/>
        <v>1.41835357624831</v>
      </c>
      <c r="J77" s="79" t="s">
        <v>8</v>
      </c>
      <c r="K77" s="41">
        <v>0.067</v>
      </c>
      <c r="L77" s="41">
        <v>0.0642</v>
      </c>
      <c r="M77" s="41">
        <v>0.0661</v>
      </c>
      <c r="N77" s="42">
        <f t="shared" si="22"/>
        <v>0.0657666666666667</v>
      </c>
    </row>
    <row r="78" spans="1:7">
      <c r="A78" s="72" t="s">
        <v>78</v>
      </c>
      <c r="B78" s="41">
        <v>0.1091</v>
      </c>
      <c r="C78" s="41">
        <v>0.1182</v>
      </c>
      <c r="D78" s="41">
        <v>0.1207</v>
      </c>
      <c r="E78" s="42">
        <f t="shared" si="19"/>
        <v>0.116</v>
      </c>
      <c r="F78" s="60">
        <f t="shared" si="20"/>
        <v>1.07706592386258</v>
      </c>
      <c r="G78" s="16">
        <f t="shared" si="21"/>
        <v>1.17408906882591</v>
      </c>
    </row>
    <row r="79" spans="1:7">
      <c r="A79" s="72" t="s">
        <v>79</v>
      </c>
      <c r="B79" s="41">
        <v>0.126</v>
      </c>
      <c r="C79" s="41">
        <v>0.1382</v>
      </c>
      <c r="D79" s="41">
        <v>0.0913</v>
      </c>
      <c r="E79" s="42">
        <f t="shared" si="19"/>
        <v>0.1185</v>
      </c>
      <c r="F79" s="60">
        <f t="shared" si="20"/>
        <v>1.10027855153203</v>
      </c>
      <c r="G79" s="16">
        <f t="shared" si="21"/>
        <v>1.19939271255061</v>
      </c>
    </row>
    <row r="80" spans="1:14">
      <c r="A80" s="72" t="s">
        <v>80</v>
      </c>
      <c r="B80" s="41">
        <v>0.1391</v>
      </c>
      <c r="C80" s="41">
        <v>0.0946</v>
      </c>
      <c r="D80" s="41">
        <v>0.1095</v>
      </c>
      <c r="E80" s="42">
        <f t="shared" si="19"/>
        <v>0.1144</v>
      </c>
      <c r="F80" s="60">
        <f t="shared" si="20"/>
        <v>1.06220984215413</v>
      </c>
      <c r="G80" s="16">
        <f t="shared" si="21"/>
        <v>1.15789473684211</v>
      </c>
      <c r="J80" s="67"/>
      <c r="K80" s="41"/>
      <c r="L80" s="41"/>
      <c r="M80" s="41"/>
      <c r="N80" s="42"/>
    </row>
    <row r="81" spans="1:7">
      <c r="A81" s="72" t="s">
        <v>81</v>
      </c>
      <c r="B81" s="41">
        <v>0.0905</v>
      </c>
      <c r="C81" s="41">
        <v>0.122</v>
      </c>
      <c r="D81" s="41">
        <v>0.109</v>
      </c>
      <c r="E81" s="42">
        <f t="shared" si="19"/>
        <v>0.107166666666667</v>
      </c>
      <c r="F81" s="16">
        <f t="shared" si="20"/>
        <v>0.99504797276385</v>
      </c>
      <c r="G81" s="16">
        <f t="shared" si="21"/>
        <v>1.08468286099865</v>
      </c>
    </row>
    <row r="82" spans="1:7">
      <c r="A82" s="72" t="s">
        <v>82</v>
      </c>
      <c r="B82" s="41">
        <v>0.0875</v>
      </c>
      <c r="C82" s="41">
        <v>0.0828</v>
      </c>
      <c r="D82" s="41">
        <v>0.1139</v>
      </c>
      <c r="E82" s="42">
        <f t="shared" si="19"/>
        <v>0.0947333333333333</v>
      </c>
      <c r="F82" s="16">
        <f t="shared" si="20"/>
        <v>0.879603837821108</v>
      </c>
      <c r="G82" s="16">
        <f t="shared" si="21"/>
        <v>0.958839406207827</v>
      </c>
    </row>
    <row r="83" spans="1:7">
      <c r="A83" s="72" t="s">
        <v>83</v>
      </c>
      <c r="B83" s="41">
        <v>0.068</v>
      </c>
      <c r="C83" s="41">
        <v>0.07</v>
      </c>
      <c r="D83" s="41">
        <v>0.069</v>
      </c>
      <c r="E83" s="42">
        <f t="shared" si="19"/>
        <v>0.069</v>
      </c>
      <c r="F83" s="16">
        <f t="shared" si="20"/>
        <v>0.64066852367688</v>
      </c>
      <c r="G83" s="16">
        <f t="shared" si="21"/>
        <v>0.69838056680162</v>
      </c>
    </row>
    <row r="84" spans="1:7">
      <c r="A84" s="72" t="s">
        <v>84</v>
      </c>
      <c r="B84" s="73">
        <v>0.1103</v>
      </c>
      <c r="C84" s="73">
        <v>0.1133</v>
      </c>
      <c r="D84" s="73">
        <v>0.1196</v>
      </c>
      <c r="E84" s="76">
        <f t="shared" si="19"/>
        <v>0.1144</v>
      </c>
      <c r="F84" s="37">
        <f>E84/0.0996</f>
        <v>1.14859437751004</v>
      </c>
      <c r="G84" s="16">
        <f>E84/0.0911</f>
        <v>1.25576289791438</v>
      </c>
    </row>
    <row r="85" spans="1:6">
      <c r="A85" s="11"/>
      <c r="B85" s="73"/>
      <c r="C85" s="73"/>
      <c r="D85" s="73"/>
      <c r="E85" s="76"/>
      <c r="F85" s="37"/>
    </row>
    <row r="86" spans="1:14">
      <c r="A86" s="74" t="s">
        <v>85</v>
      </c>
      <c r="B86" s="73">
        <v>0.1183</v>
      </c>
      <c r="C86" s="73">
        <v>0.1095</v>
      </c>
      <c r="D86" s="73">
        <v>0.1123</v>
      </c>
      <c r="E86" s="76">
        <f t="shared" ref="E86:E100" si="23">(B86+C86+D86)/3</f>
        <v>0.113366666666667</v>
      </c>
      <c r="F86" s="37">
        <f t="shared" ref="F86:F100" si="24">E86/0.0996</f>
        <v>1.13821954484605</v>
      </c>
      <c r="G86" s="16">
        <f t="shared" ref="G86:G100" si="25">E86/0.0911</f>
        <v>1.24442005122576</v>
      </c>
      <c r="J86" s="81" t="s">
        <v>4</v>
      </c>
      <c r="K86" s="41">
        <v>0.0993</v>
      </c>
      <c r="L86" s="41">
        <v>0.0998</v>
      </c>
      <c r="N86" s="42">
        <f>(K86+L86)/2</f>
        <v>0.09955</v>
      </c>
    </row>
    <row r="87" spans="1:15">
      <c r="A87" s="75" t="s">
        <v>86</v>
      </c>
      <c r="B87" s="76">
        <v>0.1247</v>
      </c>
      <c r="C87" s="76">
        <v>0.1219</v>
      </c>
      <c r="D87" s="76">
        <v>0.0992</v>
      </c>
      <c r="E87" s="76">
        <f t="shared" si="23"/>
        <v>0.115266666666667</v>
      </c>
      <c r="F87" s="37">
        <f t="shared" si="24"/>
        <v>1.15729585006693</v>
      </c>
      <c r="G87" s="16">
        <f t="shared" si="25"/>
        <v>1.26527625320161</v>
      </c>
      <c r="J87" s="82">
        <v>2962</v>
      </c>
      <c r="K87" s="41">
        <v>0.093</v>
      </c>
      <c r="L87" s="41">
        <v>0.096</v>
      </c>
      <c r="M87" s="41">
        <v>0.0844</v>
      </c>
      <c r="N87" s="42">
        <f>(K87+L87+M87)/3</f>
        <v>0.0911333333333333</v>
      </c>
      <c r="O87" s="16">
        <f>N86/N87</f>
        <v>1.09235552304316</v>
      </c>
    </row>
    <row r="88" spans="1:14">
      <c r="A88" s="75" t="s">
        <v>87</v>
      </c>
      <c r="B88" s="76">
        <v>0.1453</v>
      </c>
      <c r="C88" s="76">
        <v>0.1191</v>
      </c>
      <c r="D88" s="76">
        <v>0.1001</v>
      </c>
      <c r="E88" s="76">
        <f t="shared" si="23"/>
        <v>0.1215</v>
      </c>
      <c r="F88" s="37">
        <f t="shared" si="24"/>
        <v>1.21987951807229</v>
      </c>
      <c r="G88" s="16">
        <f t="shared" si="25"/>
        <v>1.33369923161361</v>
      </c>
      <c r="J88" s="81" t="s">
        <v>8</v>
      </c>
      <c r="K88" s="41">
        <v>0.0657</v>
      </c>
      <c r="L88" s="41">
        <v>0.0647</v>
      </c>
      <c r="M88" s="41">
        <v>0.0691</v>
      </c>
      <c r="N88" s="42">
        <f>(K88+L88+M88)/3</f>
        <v>0.0665</v>
      </c>
    </row>
    <row r="89" spans="1:7">
      <c r="A89" s="75" t="s">
        <v>88</v>
      </c>
      <c r="B89" s="76">
        <v>0.1255</v>
      </c>
      <c r="C89" s="76">
        <v>0.1124</v>
      </c>
      <c r="D89" s="76">
        <v>0.093</v>
      </c>
      <c r="E89" s="76">
        <f t="shared" si="23"/>
        <v>0.1103</v>
      </c>
      <c r="F89" s="37">
        <f t="shared" si="24"/>
        <v>1.1074297188755</v>
      </c>
      <c r="G89" s="16">
        <f t="shared" si="25"/>
        <v>1.21075740944018</v>
      </c>
    </row>
    <row r="90" spans="1:7">
      <c r="A90" s="75" t="s">
        <v>89</v>
      </c>
      <c r="B90" s="73">
        <v>0.0953</v>
      </c>
      <c r="C90" s="73">
        <v>0.0914</v>
      </c>
      <c r="D90" s="73">
        <v>0.0884</v>
      </c>
      <c r="E90" s="76">
        <f t="shared" si="23"/>
        <v>0.0917</v>
      </c>
      <c r="F90" s="16">
        <f t="shared" si="24"/>
        <v>0.920682730923695</v>
      </c>
      <c r="G90" s="16">
        <f t="shared" si="25"/>
        <v>1.00658616904501</v>
      </c>
    </row>
    <row r="91" spans="1:7">
      <c r="A91" s="75" t="s">
        <v>90</v>
      </c>
      <c r="B91" s="73">
        <v>0.0848</v>
      </c>
      <c r="C91" s="73">
        <v>0.0762</v>
      </c>
      <c r="D91" s="73">
        <v>0.0852</v>
      </c>
      <c r="E91" s="76">
        <f t="shared" si="23"/>
        <v>0.0820666666666667</v>
      </c>
      <c r="F91" s="16">
        <f t="shared" si="24"/>
        <v>0.823962516733601</v>
      </c>
      <c r="G91" s="16">
        <f t="shared" si="25"/>
        <v>0.900841566044639</v>
      </c>
    </row>
    <row r="92" spans="1:7">
      <c r="A92" s="75" t="s">
        <v>91</v>
      </c>
      <c r="B92" s="77">
        <v>0.0796</v>
      </c>
      <c r="C92" s="77">
        <v>0.0984</v>
      </c>
      <c r="D92" s="77">
        <v>0.097</v>
      </c>
      <c r="E92" s="76">
        <f t="shared" si="23"/>
        <v>0.0916666666666667</v>
      </c>
      <c r="F92" s="16">
        <f t="shared" si="24"/>
        <v>0.920348058902276</v>
      </c>
      <c r="G92" s="16">
        <f t="shared" si="25"/>
        <v>1.00622027076473</v>
      </c>
    </row>
    <row r="93" spans="1:7">
      <c r="A93" s="75" t="s">
        <v>92</v>
      </c>
      <c r="B93" s="77">
        <v>0.0866</v>
      </c>
      <c r="C93" s="77">
        <v>0.1129</v>
      </c>
      <c r="D93" s="77">
        <v>0.1234</v>
      </c>
      <c r="E93" s="76">
        <f t="shared" si="23"/>
        <v>0.107633333333333</v>
      </c>
      <c r="F93" s="37">
        <f t="shared" si="24"/>
        <v>1.08065595716198</v>
      </c>
      <c r="G93" s="16">
        <f t="shared" si="25"/>
        <v>1.18148554701793</v>
      </c>
    </row>
    <row r="94" spans="1:7">
      <c r="A94" s="75" t="s">
        <v>93</v>
      </c>
      <c r="B94" s="77">
        <v>0.0828</v>
      </c>
      <c r="C94" s="77">
        <v>0.0967</v>
      </c>
      <c r="D94" s="77">
        <v>0.0996</v>
      </c>
      <c r="E94" s="76">
        <f t="shared" si="23"/>
        <v>0.0930333333333333</v>
      </c>
      <c r="F94" s="16">
        <f t="shared" si="24"/>
        <v>0.934069611780455</v>
      </c>
      <c r="G94" s="16">
        <f t="shared" si="25"/>
        <v>1.02122210025613</v>
      </c>
    </row>
    <row r="95" spans="1:7">
      <c r="A95" s="75" t="s">
        <v>94</v>
      </c>
      <c r="B95" s="77">
        <v>0.0834</v>
      </c>
      <c r="C95" s="77">
        <v>0.0961</v>
      </c>
      <c r="D95" s="77">
        <v>0.1351</v>
      </c>
      <c r="E95" s="76">
        <f t="shared" si="23"/>
        <v>0.104866666666667</v>
      </c>
      <c r="F95" s="37">
        <f t="shared" si="24"/>
        <v>1.0528781793842</v>
      </c>
      <c r="G95" s="16">
        <f t="shared" si="25"/>
        <v>1.15111598975485</v>
      </c>
    </row>
    <row r="96" spans="1:7">
      <c r="A96" s="75" t="s">
        <v>95</v>
      </c>
      <c r="B96" s="77">
        <v>0.1033</v>
      </c>
      <c r="C96" s="77">
        <v>0.1055</v>
      </c>
      <c r="D96" s="77">
        <v>0.1425</v>
      </c>
      <c r="E96" s="76">
        <f t="shared" si="23"/>
        <v>0.1171</v>
      </c>
      <c r="F96" s="37">
        <f t="shared" si="24"/>
        <v>1.17570281124498</v>
      </c>
      <c r="G96" s="16">
        <f t="shared" si="25"/>
        <v>1.2854006586169</v>
      </c>
    </row>
    <row r="97" spans="1:7">
      <c r="A97" s="74" t="s">
        <v>96</v>
      </c>
      <c r="B97" s="77">
        <v>0.0799</v>
      </c>
      <c r="C97" s="77">
        <v>0.088</v>
      </c>
      <c r="D97" s="77">
        <v>0.0955</v>
      </c>
      <c r="E97" s="76">
        <f t="shared" si="23"/>
        <v>0.0878</v>
      </c>
      <c r="F97" s="16">
        <f t="shared" si="24"/>
        <v>0.881526104417671</v>
      </c>
      <c r="G97" s="16">
        <f t="shared" si="25"/>
        <v>0.96377607025247</v>
      </c>
    </row>
    <row r="98" spans="1:7">
      <c r="A98" s="74" t="s">
        <v>97</v>
      </c>
      <c r="B98" s="77">
        <v>0.0929</v>
      </c>
      <c r="C98" s="77">
        <v>0.1164</v>
      </c>
      <c r="D98" s="77">
        <v>0.119</v>
      </c>
      <c r="E98" s="76">
        <f t="shared" si="23"/>
        <v>0.109433333333333</v>
      </c>
      <c r="F98" s="37">
        <f t="shared" si="24"/>
        <v>1.09872824631861</v>
      </c>
      <c r="G98" s="16">
        <f t="shared" si="25"/>
        <v>1.20124405415295</v>
      </c>
    </row>
    <row r="99" spans="1:7">
      <c r="A99" s="75" t="s">
        <v>98</v>
      </c>
      <c r="B99" s="77">
        <v>0.082</v>
      </c>
      <c r="C99" s="77">
        <v>0.0928</v>
      </c>
      <c r="D99" s="77">
        <v>0.1023</v>
      </c>
      <c r="E99" s="76">
        <f t="shared" si="23"/>
        <v>0.0923666666666667</v>
      </c>
      <c r="F99" s="16">
        <f t="shared" si="24"/>
        <v>0.927376171352075</v>
      </c>
      <c r="G99" s="16">
        <f t="shared" si="25"/>
        <v>1.01390413465057</v>
      </c>
    </row>
    <row r="100" spans="1:7">
      <c r="A100" s="75" t="s">
        <v>99</v>
      </c>
      <c r="B100" s="77">
        <v>0.0864</v>
      </c>
      <c r="C100" s="77">
        <v>0.0955</v>
      </c>
      <c r="D100" s="77">
        <v>0.0976</v>
      </c>
      <c r="E100" s="76">
        <f t="shared" si="23"/>
        <v>0.0931666666666667</v>
      </c>
      <c r="F100" s="16">
        <f t="shared" si="24"/>
        <v>0.935408299866131</v>
      </c>
      <c r="G100" s="16">
        <f t="shared" si="25"/>
        <v>1.02268569337724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opLeftCell="A17" workbookViewId="0">
      <selection activeCell="A41" sqref="A41"/>
    </sheetView>
  </sheetViews>
  <sheetFormatPr defaultColWidth="9.23076923076923" defaultRowHeight="16.8"/>
  <cols>
    <col min="1" max="4" width="9.23076923076923" style="9"/>
    <col min="5" max="5" width="12.9230769230769" style="9"/>
    <col min="6" max="6" width="12.9230769230769" style="16"/>
    <col min="7" max="7" width="20.5" style="16" customWidth="1"/>
    <col min="8" max="11" width="9.23076923076923" style="9"/>
    <col min="12" max="12" width="12.9230769230769" style="9"/>
    <col min="13" max="13" width="12.9230769230769" style="16"/>
  </cols>
  <sheetData>
    <row r="1" spans="5:7">
      <c r="E1" s="9" t="s">
        <v>0</v>
      </c>
      <c r="F1" s="16" t="s">
        <v>1</v>
      </c>
      <c r="G1" s="16" t="s">
        <v>2</v>
      </c>
    </row>
    <row r="2" spans="1:12">
      <c r="A2" s="7" t="s">
        <v>14</v>
      </c>
      <c r="B2" s="17">
        <v>0.1212</v>
      </c>
      <c r="C2" s="17">
        <v>0.109</v>
      </c>
      <c r="D2" s="17">
        <v>0.1375</v>
      </c>
      <c r="E2" s="28">
        <f t="shared" ref="E2:E10" si="0">(B2+C2+D2)/3</f>
        <v>0.122566666666667</v>
      </c>
      <c r="F2" s="29">
        <f t="shared" ref="F2:F10" si="1">E2/0.1133</f>
        <v>1.08178876140041</v>
      </c>
      <c r="G2" s="16">
        <f t="shared" ref="G2:G10" si="2">E2/0.1005</f>
        <v>1.2195688225539</v>
      </c>
      <c r="H2" s="30" t="s">
        <v>4</v>
      </c>
      <c r="I2" s="41">
        <v>0.1073</v>
      </c>
      <c r="J2" s="41">
        <v>0.1148</v>
      </c>
      <c r="K2" s="41">
        <v>0.1179</v>
      </c>
      <c r="L2" s="42">
        <f>(I2+J2+K2)/3</f>
        <v>0.113333333333333</v>
      </c>
    </row>
    <row r="3" spans="1:13">
      <c r="A3" s="7" t="s">
        <v>23</v>
      </c>
      <c r="B3" s="17">
        <v>0.1115</v>
      </c>
      <c r="C3" s="17">
        <v>0.1201</v>
      </c>
      <c r="D3" s="17">
        <v>0.1252</v>
      </c>
      <c r="E3" s="28">
        <f t="shared" si="0"/>
        <v>0.118933333333333</v>
      </c>
      <c r="F3" s="29">
        <f t="shared" si="1"/>
        <v>1.04972050603119</v>
      </c>
      <c r="G3" s="16">
        <f t="shared" si="2"/>
        <v>1.18341625207297</v>
      </c>
      <c r="H3" s="30">
        <v>2962</v>
      </c>
      <c r="I3" s="41">
        <v>0.0997</v>
      </c>
      <c r="J3" s="41">
        <v>0.1001</v>
      </c>
      <c r="K3" s="41">
        <v>0.1017</v>
      </c>
      <c r="L3" s="42">
        <f>(I3+J3+K3)/3</f>
        <v>0.1005</v>
      </c>
      <c r="M3" s="16">
        <f>L2/L3</f>
        <v>1.12769485903814</v>
      </c>
    </row>
    <row r="4" spans="1:12">
      <c r="A4" s="7" t="s">
        <v>18</v>
      </c>
      <c r="B4" s="17">
        <v>0.1201</v>
      </c>
      <c r="C4" s="17">
        <v>0.1163</v>
      </c>
      <c r="D4" s="17">
        <v>0.1182</v>
      </c>
      <c r="E4" s="28">
        <f t="shared" si="0"/>
        <v>0.1182</v>
      </c>
      <c r="F4" s="29">
        <f t="shared" si="1"/>
        <v>1.0432480141218</v>
      </c>
      <c r="G4" s="16">
        <f t="shared" si="2"/>
        <v>1.17611940298507</v>
      </c>
      <c r="H4" s="30" t="s">
        <v>8</v>
      </c>
      <c r="I4" s="41">
        <v>0.0776</v>
      </c>
      <c r="J4" s="41">
        <v>0.0832</v>
      </c>
      <c r="K4" s="41">
        <v>0.0831</v>
      </c>
      <c r="L4" s="42">
        <f>(I4+J4+K4)/3</f>
        <v>0.0813</v>
      </c>
    </row>
    <row r="5" spans="1:12">
      <c r="A5" s="7" t="s">
        <v>25</v>
      </c>
      <c r="B5" s="17">
        <v>0.1125</v>
      </c>
      <c r="C5" s="17">
        <v>0.1132</v>
      </c>
      <c r="D5" s="17">
        <v>0.1245</v>
      </c>
      <c r="E5" s="28">
        <f t="shared" si="0"/>
        <v>0.116733333333333</v>
      </c>
      <c r="F5" s="29">
        <f t="shared" si="1"/>
        <v>1.03030303030303</v>
      </c>
      <c r="G5" s="16">
        <f t="shared" si="2"/>
        <v>1.16152570480929</v>
      </c>
      <c r="L5" s="42"/>
    </row>
    <row r="6" spans="1:12">
      <c r="A6" s="7" t="s">
        <v>13</v>
      </c>
      <c r="B6" s="17">
        <v>0.1163</v>
      </c>
      <c r="C6" s="17">
        <v>0.1156</v>
      </c>
      <c r="D6" s="17">
        <v>0.1179</v>
      </c>
      <c r="E6" s="28">
        <f t="shared" si="0"/>
        <v>0.1166</v>
      </c>
      <c r="F6" s="29">
        <f t="shared" si="1"/>
        <v>1.02912621359223</v>
      </c>
      <c r="G6" s="16">
        <f t="shared" si="2"/>
        <v>1.16019900497512</v>
      </c>
      <c r="L6" s="42"/>
    </row>
    <row r="7" spans="1:12">
      <c r="A7" s="7" t="s">
        <v>11</v>
      </c>
      <c r="B7" s="17">
        <v>0.1128</v>
      </c>
      <c r="C7" s="17">
        <v>0.1115</v>
      </c>
      <c r="D7" s="17">
        <v>0.1152</v>
      </c>
      <c r="E7" s="28">
        <f t="shared" si="0"/>
        <v>0.113166666666667</v>
      </c>
      <c r="F7" s="31">
        <f t="shared" si="1"/>
        <v>0.998823183289203</v>
      </c>
      <c r="G7" s="16">
        <f t="shared" si="2"/>
        <v>1.12603648424544</v>
      </c>
      <c r="L7" s="42"/>
    </row>
    <row r="8" spans="1:12">
      <c r="A8" s="7" t="s">
        <v>17</v>
      </c>
      <c r="B8" s="17">
        <v>0.1111</v>
      </c>
      <c r="C8" s="17">
        <v>0.1159</v>
      </c>
      <c r="D8" s="17">
        <v>0.1109</v>
      </c>
      <c r="E8" s="28">
        <f t="shared" si="0"/>
        <v>0.112633333333333</v>
      </c>
      <c r="F8" s="31">
        <f t="shared" si="1"/>
        <v>0.994115916446013</v>
      </c>
      <c r="G8" s="16">
        <f t="shared" si="2"/>
        <v>1.12072968490879</v>
      </c>
      <c r="L8" s="42"/>
    </row>
    <row r="9" spans="1:12">
      <c r="A9" s="7" t="s">
        <v>24</v>
      </c>
      <c r="B9" s="17">
        <v>0.1126</v>
      </c>
      <c r="C9" s="17">
        <v>0.113</v>
      </c>
      <c r="D9" s="17">
        <v>0.1096</v>
      </c>
      <c r="E9" s="28">
        <f t="shared" si="0"/>
        <v>0.111733333333333</v>
      </c>
      <c r="F9" s="31">
        <f t="shared" si="1"/>
        <v>0.986172403648132</v>
      </c>
      <c r="G9" s="16">
        <f t="shared" si="2"/>
        <v>1.11177446102819</v>
      </c>
      <c r="L9" s="42"/>
    </row>
    <row r="10" spans="1:12">
      <c r="A10" s="7" t="s">
        <v>5</v>
      </c>
      <c r="B10" s="17">
        <v>0.1108</v>
      </c>
      <c r="C10" s="17">
        <v>0.1109</v>
      </c>
      <c r="D10" s="17">
        <v>0.1129</v>
      </c>
      <c r="E10" s="28">
        <f t="shared" si="0"/>
        <v>0.111533333333333</v>
      </c>
      <c r="F10" s="31">
        <f t="shared" si="1"/>
        <v>0.984407178581936</v>
      </c>
      <c r="G10" s="16">
        <f t="shared" si="2"/>
        <v>1.10978441127695</v>
      </c>
      <c r="L10" s="42"/>
    </row>
    <row r="11" spans="1:12">
      <c r="A11" s="18"/>
      <c r="B11" s="18"/>
      <c r="C11" s="18"/>
      <c r="D11" s="18"/>
      <c r="E11" s="32"/>
      <c r="F11" s="31"/>
      <c r="L11" s="42"/>
    </row>
    <row r="12" spans="1:12">
      <c r="A12" s="3" t="s">
        <v>44</v>
      </c>
      <c r="B12" s="19">
        <v>0.1645</v>
      </c>
      <c r="C12" s="19">
        <v>0.1521</v>
      </c>
      <c r="D12" s="19">
        <v>0.1545</v>
      </c>
      <c r="E12" s="33">
        <f t="shared" ref="E12:E19" si="3">(B12+C12+D12)/3</f>
        <v>0.157033333333333</v>
      </c>
      <c r="F12" s="29">
        <f t="shared" ref="F12:F19" si="4">E12/0.1133</f>
        <v>1.38599588114151</v>
      </c>
      <c r="G12" s="16">
        <f t="shared" ref="G12:G19" si="5">E12/0.0954</f>
        <v>1.64605171208945</v>
      </c>
      <c r="H12" s="34" t="s">
        <v>4</v>
      </c>
      <c r="I12" s="41">
        <v>0.1147</v>
      </c>
      <c r="J12" s="41">
        <v>0.1137</v>
      </c>
      <c r="K12" s="41">
        <v>0.1151</v>
      </c>
      <c r="L12" s="42">
        <f t="shared" ref="L12:L14" si="6">(I12+J12+K12)/3</f>
        <v>0.1145</v>
      </c>
    </row>
    <row r="13" spans="1:13">
      <c r="A13" s="3" t="s">
        <v>39</v>
      </c>
      <c r="B13" s="19">
        <v>0.1179</v>
      </c>
      <c r="C13" s="19">
        <v>0.1255</v>
      </c>
      <c r="D13" s="19">
        <v>0.1237</v>
      </c>
      <c r="E13" s="33">
        <f t="shared" si="3"/>
        <v>0.122366666666667</v>
      </c>
      <c r="F13" s="29">
        <f t="shared" si="4"/>
        <v>1.08002353633422</v>
      </c>
      <c r="G13" s="16">
        <f t="shared" si="5"/>
        <v>1.28266946191474</v>
      </c>
      <c r="H13" s="34">
        <v>2962</v>
      </c>
      <c r="I13" s="9">
        <v>0.0997</v>
      </c>
      <c r="J13" s="9">
        <v>0.0914</v>
      </c>
      <c r="K13" s="9">
        <v>0.0951</v>
      </c>
      <c r="L13" s="42">
        <f t="shared" si="6"/>
        <v>0.0954</v>
      </c>
      <c r="M13" s="16">
        <f>L12/L13</f>
        <v>1.20020964360587</v>
      </c>
    </row>
    <row r="14" spans="1:12">
      <c r="A14" s="3" t="s">
        <v>38</v>
      </c>
      <c r="B14" s="19">
        <v>0.1108</v>
      </c>
      <c r="C14" s="19">
        <v>0.1186</v>
      </c>
      <c r="D14" s="19">
        <v>0.1127</v>
      </c>
      <c r="E14" s="33">
        <f t="shared" si="3"/>
        <v>0.114033333333333</v>
      </c>
      <c r="F14" s="29">
        <f t="shared" si="4"/>
        <v>1.00647249190939</v>
      </c>
      <c r="G14" s="16">
        <f t="shared" si="5"/>
        <v>1.1953179594689</v>
      </c>
      <c r="H14" s="34" t="s">
        <v>8</v>
      </c>
      <c r="I14" s="41">
        <v>0.08</v>
      </c>
      <c r="J14" s="41">
        <v>0.0792</v>
      </c>
      <c r="K14" s="41">
        <v>0.0794</v>
      </c>
      <c r="L14" s="42">
        <f t="shared" si="6"/>
        <v>0.0795333333333333</v>
      </c>
    </row>
    <row r="15" spans="1:7">
      <c r="A15" s="3" t="s">
        <v>37</v>
      </c>
      <c r="B15" s="19">
        <v>0.1129</v>
      </c>
      <c r="C15" s="19">
        <v>0.1141</v>
      </c>
      <c r="D15" s="19">
        <v>0.1144</v>
      </c>
      <c r="E15" s="33">
        <f t="shared" si="3"/>
        <v>0.1138</v>
      </c>
      <c r="F15" s="31">
        <f t="shared" si="4"/>
        <v>1.00441306266549</v>
      </c>
      <c r="G15" s="16">
        <f t="shared" si="5"/>
        <v>1.19287211740042</v>
      </c>
    </row>
    <row r="16" spans="1:7">
      <c r="A16" s="3" t="s">
        <v>41</v>
      </c>
      <c r="B16" s="19">
        <v>0.1092</v>
      </c>
      <c r="C16" s="19">
        <v>0.115</v>
      </c>
      <c r="D16" s="19">
        <v>0.1108</v>
      </c>
      <c r="E16" s="33">
        <f t="shared" si="3"/>
        <v>0.111666666666667</v>
      </c>
      <c r="F16" s="31">
        <f t="shared" si="4"/>
        <v>0.985583995292733</v>
      </c>
      <c r="G16" s="16">
        <f t="shared" si="5"/>
        <v>1.17051013277428</v>
      </c>
    </row>
    <row r="17" spans="1:7">
      <c r="A17" s="3" t="s">
        <v>40</v>
      </c>
      <c r="B17" s="19">
        <v>0.1288</v>
      </c>
      <c r="C17" s="19">
        <v>0.1003</v>
      </c>
      <c r="D17" s="19">
        <v>0.1025</v>
      </c>
      <c r="E17" s="33">
        <f t="shared" si="3"/>
        <v>0.110533333333333</v>
      </c>
      <c r="F17" s="31">
        <f t="shared" si="4"/>
        <v>0.975581053250956</v>
      </c>
      <c r="G17" s="16">
        <f t="shared" si="5"/>
        <v>1.15863032844165</v>
      </c>
    </row>
    <row r="18" spans="1:7">
      <c r="A18" s="3" t="s">
        <v>43</v>
      </c>
      <c r="B18" s="19">
        <v>0.1053</v>
      </c>
      <c r="C18" s="19">
        <v>0.1041</v>
      </c>
      <c r="D18" s="19">
        <v>0.1035</v>
      </c>
      <c r="E18" s="33">
        <f t="shared" si="3"/>
        <v>0.1043</v>
      </c>
      <c r="F18" s="31">
        <f t="shared" si="4"/>
        <v>0.920564872021183</v>
      </c>
      <c r="G18" s="16">
        <f t="shared" si="5"/>
        <v>1.09329140461216</v>
      </c>
    </row>
    <row r="19" spans="1:7">
      <c r="A19" s="3" t="s">
        <v>100</v>
      </c>
      <c r="B19" s="19">
        <v>0.0983</v>
      </c>
      <c r="C19" s="19">
        <v>0.1018</v>
      </c>
      <c r="D19" s="19">
        <v>0.1006</v>
      </c>
      <c r="E19" s="33">
        <f t="shared" si="3"/>
        <v>0.100233333333333</v>
      </c>
      <c r="F19" s="31">
        <f t="shared" si="4"/>
        <v>0.884671962341865</v>
      </c>
      <c r="G19" s="16">
        <f t="shared" si="5"/>
        <v>1.05066387141859</v>
      </c>
    </row>
    <row r="21" spans="1:12">
      <c r="A21" s="20" t="s">
        <v>101</v>
      </c>
      <c r="B21" s="21">
        <v>0.1759</v>
      </c>
      <c r="C21" s="21">
        <v>0.1555</v>
      </c>
      <c r="D21" s="21">
        <v>0.1565</v>
      </c>
      <c r="E21" s="35">
        <f t="shared" ref="E21:E33" si="7">(B21+C21+D21)/3</f>
        <v>0.162633333333333</v>
      </c>
      <c r="F21" s="16">
        <f t="shared" ref="F21:F33" si="8">E21/0.2187</f>
        <v>0.743636640755982</v>
      </c>
      <c r="G21" s="16">
        <f t="shared" ref="G21:G33" si="9">E21/0.1152</f>
        <v>1.41174768518519</v>
      </c>
      <c r="H21" s="36" t="s">
        <v>4</v>
      </c>
      <c r="I21" s="41">
        <v>0.2135</v>
      </c>
      <c r="J21" s="41">
        <v>0.2168</v>
      </c>
      <c r="K21" s="41">
        <v>0.22568</v>
      </c>
      <c r="L21" s="42">
        <f t="shared" ref="L21:L23" si="10">(K21+J21+I21)/3</f>
        <v>0.21866</v>
      </c>
    </row>
    <row r="22" spans="1:13">
      <c r="A22" s="20" t="s">
        <v>62</v>
      </c>
      <c r="B22" s="21">
        <v>0.216</v>
      </c>
      <c r="C22" s="21">
        <v>0.2446</v>
      </c>
      <c r="D22" s="21">
        <v>0.2154</v>
      </c>
      <c r="E22" s="35">
        <f t="shared" si="7"/>
        <v>0.225333333333333</v>
      </c>
      <c r="F22" s="16">
        <f t="shared" si="8"/>
        <v>1.0303307422649</v>
      </c>
      <c r="G22" s="16">
        <f t="shared" si="9"/>
        <v>1.95601851851852</v>
      </c>
      <c r="H22" s="36">
        <v>2962</v>
      </c>
      <c r="I22" s="41">
        <v>0.1123</v>
      </c>
      <c r="J22" s="41">
        <v>0.1132</v>
      </c>
      <c r="K22" s="41">
        <v>0.12</v>
      </c>
      <c r="L22" s="42">
        <f t="shared" si="10"/>
        <v>0.115166666666667</v>
      </c>
      <c r="M22" s="16">
        <f>L21/L22</f>
        <v>1.89863965267728</v>
      </c>
    </row>
    <row r="23" spans="1:12">
      <c r="A23" s="20" t="s">
        <v>102</v>
      </c>
      <c r="B23" s="21">
        <v>0.2851</v>
      </c>
      <c r="C23" s="21">
        <v>0.2837</v>
      </c>
      <c r="D23" s="21">
        <v>0.2862</v>
      </c>
      <c r="E23" s="35">
        <f t="shared" si="7"/>
        <v>0.285</v>
      </c>
      <c r="F23" s="37">
        <f t="shared" si="8"/>
        <v>1.30315500685871</v>
      </c>
      <c r="G23" s="16">
        <f t="shared" si="9"/>
        <v>2.47395833333333</v>
      </c>
      <c r="H23" s="36" t="s">
        <v>8</v>
      </c>
      <c r="I23" s="41">
        <v>0.0703</v>
      </c>
      <c r="J23" s="41">
        <v>0.0724</v>
      </c>
      <c r="K23" s="41">
        <v>0.0722</v>
      </c>
      <c r="L23" s="42">
        <f t="shared" si="10"/>
        <v>0.0716333333333333</v>
      </c>
    </row>
    <row r="24" spans="1:8">
      <c r="A24" s="20" t="s">
        <v>103</v>
      </c>
      <c r="B24" s="21">
        <v>0.1375</v>
      </c>
      <c r="C24" s="21">
        <v>0.1144</v>
      </c>
      <c r="D24" s="21">
        <v>0.1407</v>
      </c>
      <c r="E24" s="35">
        <f t="shared" si="7"/>
        <v>0.130866666666667</v>
      </c>
      <c r="F24" s="16">
        <f t="shared" si="8"/>
        <v>0.598384392623076</v>
      </c>
      <c r="G24" s="16">
        <f t="shared" si="9"/>
        <v>1.13599537037037</v>
      </c>
      <c r="H24" s="38"/>
    </row>
    <row r="25" spans="1:8">
      <c r="A25" s="20" t="s">
        <v>104</v>
      </c>
      <c r="B25" s="21">
        <v>0.2722</v>
      </c>
      <c r="C25" s="21">
        <v>0.2702</v>
      </c>
      <c r="D25" s="21">
        <v>0.2627</v>
      </c>
      <c r="E25" s="35">
        <f t="shared" si="7"/>
        <v>0.268366666666667</v>
      </c>
      <c r="F25" s="37">
        <f t="shared" si="8"/>
        <v>1.22709952751105</v>
      </c>
      <c r="G25" s="16">
        <f t="shared" si="9"/>
        <v>2.32957175925926</v>
      </c>
      <c r="H25" s="38"/>
    </row>
    <row r="26" spans="1:8">
      <c r="A26" s="20" t="s">
        <v>105</v>
      </c>
      <c r="B26" s="21">
        <v>0.1863</v>
      </c>
      <c r="C26" s="21">
        <v>0.1728</v>
      </c>
      <c r="D26" s="21">
        <v>0.1655</v>
      </c>
      <c r="E26" s="35">
        <f t="shared" si="7"/>
        <v>0.174866666666667</v>
      </c>
      <c r="F26" s="16">
        <f t="shared" si="8"/>
        <v>0.799573235787227</v>
      </c>
      <c r="G26" s="16">
        <f t="shared" si="9"/>
        <v>1.51793981481481</v>
      </c>
      <c r="H26" s="38"/>
    </row>
    <row r="27" spans="1:7">
      <c r="A27" s="20" t="s">
        <v>106</v>
      </c>
      <c r="B27" s="21">
        <v>0.228</v>
      </c>
      <c r="C27" s="21">
        <v>0.2238</v>
      </c>
      <c r="D27" s="21">
        <v>0.2045</v>
      </c>
      <c r="E27" s="35">
        <f t="shared" si="7"/>
        <v>0.218766666666667</v>
      </c>
      <c r="F27" s="16">
        <f t="shared" si="8"/>
        <v>1.00030483158055</v>
      </c>
      <c r="G27" s="16">
        <f t="shared" si="9"/>
        <v>1.8990162037037</v>
      </c>
    </row>
    <row r="28" spans="1:7">
      <c r="A28" s="20" t="s">
        <v>107</v>
      </c>
      <c r="B28" s="21">
        <v>0.1551</v>
      </c>
      <c r="C28" s="21">
        <v>0.1568</v>
      </c>
      <c r="D28" s="21">
        <v>0.1551</v>
      </c>
      <c r="E28" s="35">
        <f t="shared" si="7"/>
        <v>0.155666666666667</v>
      </c>
      <c r="F28" s="16">
        <f t="shared" si="8"/>
        <v>0.711781740588325</v>
      </c>
      <c r="G28" s="16">
        <f t="shared" si="9"/>
        <v>1.35127314814815</v>
      </c>
    </row>
    <row r="29" spans="1:7">
      <c r="A29" s="20" t="s">
        <v>108</v>
      </c>
      <c r="B29" s="21">
        <v>0.2649</v>
      </c>
      <c r="C29" s="21">
        <v>0.259</v>
      </c>
      <c r="D29" s="21">
        <v>0.267</v>
      </c>
      <c r="E29" s="35">
        <f t="shared" si="7"/>
        <v>0.263633333333333</v>
      </c>
      <c r="F29" s="37">
        <f t="shared" si="8"/>
        <v>1.20545648529188</v>
      </c>
      <c r="G29" s="16">
        <f t="shared" si="9"/>
        <v>2.2884837962963</v>
      </c>
    </row>
    <row r="30" spans="1:7">
      <c r="A30" s="20" t="s">
        <v>109</v>
      </c>
      <c r="B30" s="21">
        <v>0.1637</v>
      </c>
      <c r="C30" s="21">
        <v>0.1638</v>
      </c>
      <c r="D30" s="21">
        <v>0.1604</v>
      </c>
      <c r="E30" s="35">
        <f t="shared" si="7"/>
        <v>0.162633333333333</v>
      </c>
      <c r="F30" s="16">
        <f t="shared" si="8"/>
        <v>0.743636640755982</v>
      </c>
      <c r="G30" s="16">
        <f t="shared" si="9"/>
        <v>1.41174768518519</v>
      </c>
    </row>
    <row r="31" spans="1:7">
      <c r="A31" s="20" t="s">
        <v>32</v>
      </c>
      <c r="B31" s="21">
        <v>0.1399</v>
      </c>
      <c r="C31" s="21">
        <v>0.1524</v>
      </c>
      <c r="D31" s="21">
        <v>0.139</v>
      </c>
      <c r="E31" s="35">
        <f t="shared" si="7"/>
        <v>0.143766666666667</v>
      </c>
      <c r="F31" s="16">
        <f t="shared" si="8"/>
        <v>0.657369303459838</v>
      </c>
      <c r="G31" s="16">
        <f t="shared" si="9"/>
        <v>1.24797453703704</v>
      </c>
    </row>
    <row r="32" spans="1:7">
      <c r="A32" s="20" t="s">
        <v>110</v>
      </c>
      <c r="B32" s="21">
        <v>0.2394</v>
      </c>
      <c r="C32" s="21">
        <v>0.2405</v>
      </c>
      <c r="D32" s="21">
        <v>0.2384</v>
      </c>
      <c r="E32" s="35">
        <f t="shared" si="7"/>
        <v>0.239433333333333</v>
      </c>
      <c r="F32" s="37">
        <f t="shared" si="8"/>
        <v>1.09480262155159</v>
      </c>
      <c r="G32" s="16">
        <f t="shared" si="9"/>
        <v>2.07841435185185</v>
      </c>
    </row>
    <row r="33" spans="1:7">
      <c r="A33" s="22" t="s">
        <v>111</v>
      </c>
      <c r="B33" s="21">
        <v>0.2599</v>
      </c>
      <c r="C33" s="21">
        <v>0.2427</v>
      </c>
      <c r="D33" s="21">
        <v>0.2313</v>
      </c>
      <c r="E33" s="35">
        <f t="shared" si="7"/>
        <v>0.244633333333333</v>
      </c>
      <c r="F33" s="37">
        <f t="shared" si="8"/>
        <v>1.11857948483463</v>
      </c>
      <c r="G33" s="16">
        <f t="shared" si="9"/>
        <v>2.12355324074074</v>
      </c>
    </row>
    <row r="35" spans="1:12">
      <c r="A35" s="23" t="s">
        <v>112</v>
      </c>
      <c r="B35" s="24">
        <v>0.1622</v>
      </c>
      <c r="C35" s="24">
        <v>0.173</v>
      </c>
      <c r="D35" s="24">
        <v>0.1726</v>
      </c>
      <c r="E35" s="39">
        <f t="shared" ref="E35:E43" si="11">(B35+C35+D35)/3</f>
        <v>0.169266666666667</v>
      </c>
      <c r="F35" s="37">
        <f t="shared" ref="F35:F43" si="12">E35/0.1661</f>
        <v>1.01906482038932</v>
      </c>
      <c r="G35" s="16">
        <f t="shared" ref="G35:G43" si="13">E35/0.1132</f>
        <v>1.49528857479388</v>
      </c>
      <c r="H35" s="40" t="s">
        <v>4</v>
      </c>
      <c r="I35" s="41">
        <v>0.1642</v>
      </c>
      <c r="J35" s="41">
        <v>0.1681</v>
      </c>
      <c r="K35" s="41">
        <v>0.1659</v>
      </c>
      <c r="L35" s="42">
        <f t="shared" ref="L35:L37" si="14">(I35+J35+K35)/3</f>
        <v>0.166066666666667</v>
      </c>
    </row>
    <row r="36" spans="1:13">
      <c r="A36" s="25" t="s">
        <v>113</v>
      </c>
      <c r="B36" s="24">
        <v>0.1487</v>
      </c>
      <c r="C36" s="24">
        <v>0.1222</v>
      </c>
      <c r="D36" s="24">
        <v>0.1514</v>
      </c>
      <c r="E36" s="39">
        <f t="shared" si="11"/>
        <v>0.140766666666667</v>
      </c>
      <c r="F36" s="16">
        <f t="shared" si="12"/>
        <v>0.84748143688541</v>
      </c>
      <c r="G36" s="16">
        <f t="shared" si="13"/>
        <v>1.24352179034158</v>
      </c>
      <c r="H36" s="40">
        <v>2962</v>
      </c>
      <c r="I36" s="41">
        <v>0.1124</v>
      </c>
      <c r="J36" s="41">
        <v>0.1159</v>
      </c>
      <c r="K36" s="41">
        <v>0.1113</v>
      </c>
      <c r="L36" s="42">
        <f t="shared" si="14"/>
        <v>0.1132</v>
      </c>
      <c r="M36" s="16">
        <f>L35/L36</f>
        <v>1.46702002355713</v>
      </c>
    </row>
    <row r="37" spans="1:12">
      <c r="A37" s="26" t="s">
        <v>84</v>
      </c>
      <c r="B37" s="24">
        <v>0.124</v>
      </c>
      <c r="C37" s="24">
        <v>0.134</v>
      </c>
      <c r="D37" s="24">
        <v>0.1259</v>
      </c>
      <c r="E37" s="39">
        <f t="shared" si="11"/>
        <v>0.127966666666667</v>
      </c>
      <c r="F37" s="16">
        <f t="shared" si="12"/>
        <v>0.770419426048565</v>
      </c>
      <c r="G37" s="16">
        <f t="shared" si="13"/>
        <v>1.13044758539458</v>
      </c>
      <c r="H37" s="40" t="s">
        <v>8</v>
      </c>
      <c r="I37" s="41">
        <v>0.0786</v>
      </c>
      <c r="J37" s="41">
        <v>0.0795</v>
      </c>
      <c r="K37" s="41">
        <v>0.0875</v>
      </c>
      <c r="L37" s="42">
        <f t="shared" si="14"/>
        <v>0.0818666666666667</v>
      </c>
    </row>
    <row r="38" spans="1:7">
      <c r="A38" s="23" t="s">
        <v>114</v>
      </c>
      <c r="B38" s="24">
        <v>0.1652</v>
      </c>
      <c r="C38" s="24">
        <v>0.1833</v>
      </c>
      <c r="D38" s="24">
        <v>0.1554</v>
      </c>
      <c r="E38" s="39">
        <f t="shared" si="11"/>
        <v>0.167966666666667</v>
      </c>
      <c r="F38" s="37">
        <f t="shared" si="12"/>
        <v>1.01123820991371</v>
      </c>
      <c r="G38" s="16">
        <f t="shared" si="13"/>
        <v>1.48380447585395</v>
      </c>
    </row>
    <row r="39" spans="1:7">
      <c r="A39" s="23" t="s">
        <v>115</v>
      </c>
      <c r="B39" s="24">
        <v>0.1931</v>
      </c>
      <c r="C39" s="24">
        <v>0.21</v>
      </c>
      <c r="D39" s="24">
        <v>0.2081</v>
      </c>
      <c r="E39" s="39">
        <f t="shared" si="11"/>
        <v>0.203733333333333</v>
      </c>
      <c r="F39" s="37">
        <f t="shared" si="12"/>
        <v>1.22657033915312</v>
      </c>
      <c r="G39" s="16">
        <f t="shared" si="13"/>
        <v>1.79976442873969</v>
      </c>
    </row>
    <row r="40" spans="1:7">
      <c r="A40" s="25" t="s">
        <v>116</v>
      </c>
      <c r="B40" s="24">
        <v>0.1741</v>
      </c>
      <c r="C40" s="24">
        <v>0.1428</v>
      </c>
      <c r="D40" s="24">
        <v>0.1773</v>
      </c>
      <c r="E40" s="39">
        <f t="shared" si="11"/>
        <v>0.164733333333333</v>
      </c>
      <c r="F40" s="16">
        <f t="shared" si="12"/>
        <v>0.991772024884608</v>
      </c>
      <c r="G40" s="16">
        <f t="shared" si="13"/>
        <v>1.45524146054181</v>
      </c>
    </row>
    <row r="41" spans="1:7">
      <c r="A41" s="25" t="s">
        <v>117</v>
      </c>
      <c r="B41" s="24">
        <v>0.1284</v>
      </c>
      <c r="C41" s="24">
        <v>0.1323</v>
      </c>
      <c r="D41" s="24">
        <v>0.129</v>
      </c>
      <c r="E41" s="39">
        <f t="shared" si="11"/>
        <v>0.1299</v>
      </c>
      <c r="F41" s="16">
        <f t="shared" si="12"/>
        <v>0.782059000602047</v>
      </c>
      <c r="G41" s="16">
        <f t="shared" si="13"/>
        <v>1.14752650176678</v>
      </c>
    </row>
    <row r="42" spans="1:7">
      <c r="A42" s="25" t="s">
        <v>118</v>
      </c>
      <c r="B42" s="24">
        <v>0.1412</v>
      </c>
      <c r="C42" s="24">
        <v>0.1632</v>
      </c>
      <c r="D42" s="24">
        <v>0.1713</v>
      </c>
      <c r="E42" s="39">
        <f t="shared" si="11"/>
        <v>0.158566666666667</v>
      </c>
      <c r="F42" s="16">
        <f t="shared" si="12"/>
        <v>0.954645795705398</v>
      </c>
      <c r="G42" s="16">
        <f t="shared" si="13"/>
        <v>1.400765606596</v>
      </c>
    </row>
    <row r="43" spans="1:7">
      <c r="A43" s="23" t="s">
        <v>119</v>
      </c>
      <c r="B43" s="24">
        <v>0.1874</v>
      </c>
      <c r="C43" s="24">
        <v>0.1911</v>
      </c>
      <c r="D43" s="24">
        <v>0.1826</v>
      </c>
      <c r="E43" s="39">
        <f t="shared" si="11"/>
        <v>0.187033333333333</v>
      </c>
      <c r="F43" s="37">
        <f t="shared" si="12"/>
        <v>1.12602849688942</v>
      </c>
      <c r="G43" s="16">
        <f t="shared" si="13"/>
        <v>1.65223792697291</v>
      </c>
    </row>
    <row r="44" spans="1:6">
      <c r="A44" s="27"/>
      <c r="B44" s="27"/>
      <c r="C44" s="27"/>
      <c r="D44" s="27"/>
      <c r="E44" s="27"/>
      <c r="F44" s="3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topLeftCell="A26" workbookViewId="0">
      <selection activeCell="F52" sqref="F52"/>
    </sheetView>
  </sheetViews>
  <sheetFormatPr defaultColWidth="9.23076923076923" defaultRowHeight="16.8" outlineLevelCol="6"/>
  <cols>
    <col min="1" max="1" width="9.23076923076923" style="9"/>
    <col min="2" max="2" width="20.8269230769231" style="2" customWidth="1"/>
    <col min="6" max="6" width="9.23076923076923" style="9"/>
    <col min="7" max="7" width="9.23076923076923" style="2"/>
  </cols>
  <sheetData>
    <row r="1" spans="2:7">
      <c r="B1" s="2" t="s">
        <v>1</v>
      </c>
      <c r="G1" s="2" t="s">
        <v>2</v>
      </c>
    </row>
    <row r="2" spans="1:7">
      <c r="A2" s="10" t="s">
        <v>24</v>
      </c>
      <c r="B2" s="2">
        <v>1.43145743145743</v>
      </c>
      <c r="F2" s="10" t="s">
        <v>24</v>
      </c>
      <c r="G2" s="2">
        <v>2.56</v>
      </c>
    </row>
    <row r="3" spans="1:7">
      <c r="A3" s="11" t="s">
        <v>76</v>
      </c>
      <c r="B3" s="2">
        <v>1.39801918910554</v>
      </c>
      <c r="F3" s="10" t="s">
        <v>14</v>
      </c>
      <c r="G3" s="2">
        <v>2.48301075268817</v>
      </c>
    </row>
    <row r="4" spans="1:7">
      <c r="A4" s="10" t="s">
        <v>14</v>
      </c>
      <c r="B4" s="2">
        <v>1.38840788840789</v>
      </c>
      <c r="F4" s="10" t="s">
        <v>13</v>
      </c>
      <c r="G4" s="2">
        <v>2.38903225806452</v>
      </c>
    </row>
    <row r="5" spans="1:7">
      <c r="A5" s="10" t="s">
        <v>13</v>
      </c>
      <c r="B5" s="2">
        <v>1.33585858585859</v>
      </c>
      <c r="F5" s="10" t="s">
        <v>22</v>
      </c>
      <c r="G5" s="2">
        <v>2.17333333333333</v>
      </c>
    </row>
    <row r="6" spans="1:7">
      <c r="A6" s="11" t="s">
        <v>77</v>
      </c>
      <c r="B6" s="2">
        <v>1.30114515629836</v>
      </c>
      <c r="F6" s="10" t="s">
        <v>5</v>
      </c>
      <c r="G6" s="2">
        <v>2.10516129032258</v>
      </c>
    </row>
    <row r="7" spans="1:7">
      <c r="A7" s="11" t="s">
        <v>87</v>
      </c>
      <c r="B7" s="2">
        <v>1.21987951807229</v>
      </c>
      <c r="F7" s="10" t="s">
        <v>11</v>
      </c>
      <c r="G7" s="2">
        <v>2.10408602150538</v>
      </c>
    </row>
    <row r="8" spans="1:7">
      <c r="A8" s="10" t="s">
        <v>22</v>
      </c>
      <c r="B8" s="2">
        <v>1.21524771524772</v>
      </c>
      <c r="F8" s="10" t="s">
        <v>25</v>
      </c>
      <c r="G8" s="2">
        <v>2.06408602150538</v>
      </c>
    </row>
    <row r="9" spans="1:7">
      <c r="A9" s="11" t="s">
        <v>74</v>
      </c>
      <c r="B9" s="2">
        <v>1.1866295264624</v>
      </c>
      <c r="F9" s="10" t="s">
        <v>23</v>
      </c>
      <c r="G9" s="2">
        <v>2.01333333333333</v>
      </c>
    </row>
    <row r="10" spans="1:7">
      <c r="A10" s="10" t="s">
        <v>5</v>
      </c>
      <c r="B10" s="2">
        <v>1.17712842712843</v>
      </c>
      <c r="F10" s="10" t="s">
        <v>18</v>
      </c>
      <c r="G10" s="2">
        <v>1.95913978494624</v>
      </c>
    </row>
    <row r="11" spans="1:7">
      <c r="A11" s="10" t="s">
        <v>11</v>
      </c>
      <c r="B11" s="2">
        <v>1.17652717652718</v>
      </c>
      <c r="F11" s="10" t="s">
        <v>32</v>
      </c>
      <c r="G11" s="2">
        <v>1.91290322580645</v>
      </c>
    </row>
    <row r="12" spans="1:7">
      <c r="A12" s="11" t="s">
        <v>95</v>
      </c>
      <c r="B12" s="2">
        <v>1.17570281124498</v>
      </c>
      <c r="F12" s="10" t="s">
        <v>21</v>
      </c>
      <c r="G12" s="2">
        <v>1.83182795698925</v>
      </c>
    </row>
    <row r="13" spans="1:7">
      <c r="A13" s="11" t="s">
        <v>86</v>
      </c>
      <c r="B13" s="2">
        <v>1.15729585006693</v>
      </c>
      <c r="F13" s="10" t="s">
        <v>26</v>
      </c>
      <c r="G13" s="2">
        <v>1.76064516129032</v>
      </c>
    </row>
    <row r="14" spans="1:7">
      <c r="A14" s="10" t="s">
        <v>25</v>
      </c>
      <c r="B14" s="2">
        <v>1.15416065416065</v>
      </c>
      <c r="F14" s="10" t="s">
        <v>15</v>
      </c>
      <c r="G14" s="2">
        <v>1.68559139784946</v>
      </c>
    </row>
    <row r="15" spans="1:7">
      <c r="A15" s="12" t="s">
        <v>37</v>
      </c>
      <c r="B15" s="2">
        <v>1.15365148228489</v>
      </c>
      <c r="F15" s="10" t="s">
        <v>27</v>
      </c>
      <c r="G15" s="2">
        <v>1.68516129032258</v>
      </c>
    </row>
    <row r="16" spans="1:7">
      <c r="A16" s="11" t="s">
        <v>84</v>
      </c>
      <c r="B16" s="2">
        <v>1.14859437751004</v>
      </c>
      <c r="F16" s="14" t="s">
        <v>73</v>
      </c>
      <c r="G16" s="2">
        <v>1.67044595616024</v>
      </c>
    </row>
    <row r="17" spans="1:7">
      <c r="A17" s="13" t="s">
        <v>41</v>
      </c>
      <c r="B17" s="2">
        <v>1.14859002169197</v>
      </c>
      <c r="F17" s="11" t="s">
        <v>66</v>
      </c>
      <c r="G17" s="2">
        <v>1.63945578231292</v>
      </c>
    </row>
    <row r="18" spans="1:7">
      <c r="A18" s="12" t="s">
        <v>39</v>
      </c>
      <c r="B18" s="2">
        <v>1.14280549530007</v>
      </c>
      <c r="F18" s="10" t="s">
        <v>16</v>
      </c>
      <c r="G18" s="2">
        <v>1.60731182795699</v>
      </c>
    </row>
    <row r="19" spans="1:7">
      <c r="A19" s="11" t="s">
        <v>34</v>
      </c>
      <c r="B19" s="2">
        <v>1.14027476500362</v>
      </c>
      <c r="F19" s="10" t="s">
        <v>19</v>
      </c>
      <c r="G19" s="2">
        <v>1.59612903225806</v>
      </c>
    </row>
    <row r="20" spans="1:7">
      <c r="A20" s="14" t="s">
        <v>85</v>
      </c>
      <c r="B20" s="2">
        <v>1.13821954484605</v>
      </c>
      <c r="F20" s="11" t="s">
        <v>65</v>
      </c>
      <c r="G20" s="2">
        <v>1.58730158730159</v>
      </c>
    </row>
    <row r="21" spans="1:7">
      <c r="A21" s="10" t="s">
        <v>23</v>
      </c>
      <c r="B21" s="2">
        <v>1.12578162578163</v>
      </c>
      <c r="F21" s="10" t="s">
        <v>20</v>
      </c>
      <c r="G21" s="2">
        <v>1.57677419354839</v>
      </c>
    </row>
    <row r="22" spans="1:7">
      <c r="A22" s="11" t="s">
        <v>88</v>
      </c>
      <c r="B22" s="2">
        <v>1.1074297188755</v>
      </c>
      <c r="F22" s="10" t="s">
        <v>12</v>
      </c>
      <c r="G22" s="2">
        <v>1.57505376344086</v>
      </c>
    </row>
    <row r="23" spans="1:7">
      <c r="A23" s="11" t="s">
        <v>79</v>
      </c>
      <c r="B23" s="2">
        <v>1.10027855153203</v>
      </c>
      <c r="F23" s="10" t="s">
        <v>9</v>
      </c>
      <c r="G23" s="2">
        <v>1.56516129032258</v>
      </c>
    </row>
    <row r="24" spans="1:7">
      <c r="A24" s="14" t="s">
        <v>97</v>
      </c>
      <c r="B24" s="2">
        <v>1.09872824631861</v>
      </c>
      <c r="F24" s="10" t="s">
        <v>17</v>
      </c>
      <c r="G24" s="2">
        <v>1.55612903225806</v>
      </c>
    </row>
    <row r="25" spans="1:7">
      <c r="A25" s="14" t="s">
        <v>73</v>
      </c>
      <c r="B25" s="2">
        <v>1.09868257519264</v>
      </c>
      <c r="F25" s="9" t="s">
        <v>62</v>
      </c>
      <c r="G25" s="2">
        <v>1.53476946334089</v>
      </c>
    </row>
    <row r="26" spans="1:7">
      <c r="A26" s="10" t="s">
        <v>18</v>
      </c>
      <c r="B26" s="2">
        <v>1.0954785954786</v>
      </c>
      <c r="F26" s="11" t="s">
        <v>76</v>
      </c>
      <c r="G26" s="2">
        <v>1.52395411605938</v>
      </c>
    </row>
    <row r="27" spans="1:7">
      <c r="A27" s="13" t="s">
        <v>44</v>
      </c>
      <c r="B27" s="2">
        <v>1.08712942877802</v>
      </c>
      <c r="F27" s="11" t="s">
        <v>64</v>
      </c>
      <c r="G27" s="2">
        <v>1.47694633408919</v>
      </c>
    </row>
    <row r="28" spans="1:7">
      <c r="A28" s="11" t="s">
        <v>92</v>
      </c>
      <c r="B28" s="2">
        <v>1.08065595716198</v>
      </c>
      <c r="F28" s="10" t="s">
        <v>31</v>
      </c>
      <c r="G28" s="2">
        <v>1.47483870967742</v>
      </c>
    </row>
    <row r="29" spans="1:7">
      <c r="A29" s="11" t="s">
        <v>66</v>
      </c>
      <c r="B29" s="2">
        <v>1.07829977628635</v>
      </c>
      <c r="F29" s="10" t="s">
        <v>3</v>
      </c>
      <c r="G29" s="2">
        <v>1.44946236559139</v>
      </c>
    </row>
    <row r="30" spans="1:7">
      <c r="A30" s="11" t="s">
        <v>78</v>
      </c>
      <c r="B30" s="2">
        <v>1.07706592386258</v>
      </c>
      <c r="F30" s="11" t="s">
        <v>77</v>
      </c>
      <c r="G30" s="2">
        <v>1.41835357624831</v>
      </c>
    </row>
    <row r="31" spans="1:7">
      <c r="A31" s="13" t="s">
        <v>43</v>
      </c>
      <c r="B31" s="2">
        <v>1.07519884309472</v>
      </c>
      <c r="F31" s="14" t="s">
        <v>61</v>
      </c>
      <c r="G31" s="2">
        <v>1.34467120181406</v>
      </c>
    </row>
    <row r="32" spans="1:7">
      <c r="A32" s="12" t="s">
        <v>38</v>
      </c>
      <c r="B32" s="2">
        <v>1.07411424439624</v>
      </c>
      <c r="F32" s="11" t="s">
        <v>71</v>
      </c>
      <c r="G32" s="2">
        <v>1.33560090702948</v>
      </c>
    </row>
    <row r="33" spans="1:7">
      <c r="A33" s="10" t="s">
        <v>32</v>
      </c>
      <c r="B33" s="2">
        <v>1.06962481962482</v>
      </c>
      <c r="F33" s="10" t="s">
        <v>10</v>
      </c>
      <c r="G33" s="2">
        <v>1.33462365591398</v>
      </c>
    </row>
    <row r="34" spans="1:7">
      <c r="A34" s="11" t="s">
        <v>80</v>
      </c>
      <c r="B34" s="2">
        <v>1.06220984215413</v>
      </c>
      <c r="F34" s="11" t="s">
        <v>87</v>
      </c>
      <c r="G34" s="2">
        <v>1.33369923161361</v>
      </c>
    </row>
    <row r="35" spans="1:7">
      <c r="A35" s="11" t="s">
        <v>94</v>
      </c>
      <c r="B35" s="2">
        <v>1.0528781793842</v>
      </c>
      <c r="F35" s="14" t="s">
        <v>63</v>
      </c>
      <c r="G35" s="2">
        <v>1.32312925170068</v>
      </c>
    </row>
    <row r="36" spans="1:7">
      <c r="A36" s="11" t="s">
        <v>65</v>
      </c>
      <c r="B36" s="2">
        <v>1.04399701715138</v>
      </c>
      <c r="F36" s="12" t="s">
        <v>37</v>
      </c>
      <c r="G36" s="2">
        <v>1.30351307189542</v>
      </c>
    </row>
    <row r="37" spans="1:7">
      <c r="A37" s="13" t="s">
        <v>40</v>
      </c>
      <c r="B37" s="2">
        <v>1.03253796095445</v>
      </c>
      <c r="F37" s="13" t="s">
        <v>41</v>
      </c>
      <c r="G37" s="2">
        <v>1.29779411764706</v>
      </c>
    </row>
    <row r="38" spans="1:7">
      <c r="A38" s="13" t="s">
        <v>42</v>
      </c>
      <c r="B38" s="2">
        <v>1.03253796095445</v>
      </c>
      <c r="F38" s="11" t="s">
        <v>74</v>
      </c>
      <c r="G38" s="2">
        <v>1.29352226720648</v>
      </c>
    </row>
    <row r="39" spans="1:7">
      <c r="A39" s="11" t="s">
        <v>75</v>
      </c>
      <c r="B39" s="2">
        <v>1.02785515320334</v>
      </c>
      <c r="F39" s="12" t="s">
        <v>39</v>
      </c>
      <c r="G39" s="2">
        <v>1.29125816993464</v>
      </c>
    </row>
    <row r="40" spans="1:7">
      <c r="A40" s="10" t="s">
        <v>21</v>
      </c>
      <c r="B40" s="2">
        <v>1.02429052429052</v>
      </c>
      <c r="F40" s="11" t="s">
        <v>34</v>
      </c>
      <c r="G40" s="2">
        <v>1.28839869281046</v>
      </c>
    </row>
    <row r="41" spans="1:7">
      <c r="A41" s="12" t="s">
        <v>36</v>
      </c>
      <c r="B41" s="2">
        <v>1.01265365148228</v>
      </c>
      <c r="F41" s="11" t="s">
        <v>72</v>
      </c>
      <c r="G41" s="2">
        <v>1.28722600151172</v>
      </c>
    </row>
    <row r="42" spans="1:7">
      <c r="A42" s="9" t="s">
        <v>62</v>
      </c>
      <c r="B42" s="2">
        <v>1.00944568729804</v>
      </c>
      <c r="F42" s="11" t="s">
        <v>95</v>
      </c>
      <c r="G42" s="2">
        <v>1.2854006586169</v>
      </c>
    </row>
    <row r="43" spans="1:7">
      <c r="A43" s="11" t="s">
        <v>81</v>
      </c>
      <c r="B43" s="2">
        <v>0.99504797276385</v>
      </c>
      <c r="F43" s="11" t="s">
        <v>86</v>
      </c>
      <c r="G43" s="2">
        <v>1.26527625320161</v>
      </c>
    </row>
    <row r="44" spans="1:7">
      <c r="A44" s="10" t="s">
        <v>26</v>
      </c>
      <c r="B44" s="2">
        <v>0.984487734487734</v>
      </c>
      <c r="F44" s="11" t="s">
        <v>67</v>
      </c>
      <c r="G44" s="2">
        <v>1.26379440665155</v>
      </c>
    </row>
    <row r="45" spans="1:7">
      <c r="A45" s="11" t="s">
        <v>64</v>
      </c>
      <c r="B45" s="2">
        <v>0.971414367387522</v>
      </c>
      <c r="F45" s="11" t="s">
        <v>84</v>
      </c>
      <c r="G45" s="2">
        <v>1.25576289791438</v>
      </c>
    </row>
    <row r="46" spans="1:7">
      <c r="A46" s="11" t="s">
        <v>59</v>
      </c>
      <c r="B46" s="2">
        <v>0.970505050505051</v>
      </c>
      <c r="F46" s="14" t="s">
        <v>85</v>
      </c>
      <c r="G46" s="2">
        <v>1.24442005122576</v>
      </c>
    </row>
    <row r="47" spans="1:7">
      <c r="A47" s="12" t="s">
        <v>53</v>
      </c>
      <c r="B47" s="2">
        <v>0.967676767676768</v>
      </c>
      <c r="F47" s="11" t="s">
        <v>59</v>
      </c>
      <c r="G47" s="2">
        <v>1.24134366925065</v>
      </c>
    </row>
    <row r="48" spans="1:7">
      <c r="A48" s="13" t="s">
        <v>46</v>
      </c>
      <c r="B48" s="2">
        <v>0.964208242950108</v>
      </c>
      <c r="F48" s="12" t="s">
        <v>53</v>
      </c>
      <c r="G48" s="2">
        <v>1.23772609819121</v>
      </c>
    </row>
    <row r="49" spans="1:7">
      <c r="A49" s="12" t="s">
        <v>55</v>
      </c>
      <c r="B49" s="2">
        <v>0.944242424242424</v>
      </c>
      <c r="F49" s="13" t="s">
        <v>44</v>
      </c>
      <c r="G49" s="2">
        <v>1.22834967320261</v>
      </c>
    </row>
    <row r="50" spans="1:7">
      <c r="A50" s="10" t="s">
        <v>15</v>
      </c>
      <c r="B50" s="2">
        <v>0.942520442520443</v>
      </c>
      <c r="F50" s="13" t="s">
        <v>43</v>
      </c>
      <c r="G50" s="2">
        <v>1.21486928104575</v>
      </c>
    </row>
    <row r="51" spans="1:7">
      <c r="A51" s="10" t="s">
        <v>27</v>
      </c>
      <c r="B51" s="2">
        <v>0.942279942279942</v>
      </c>
      <c r="F51" s="12" t="s">
        <v>38</v>
      </c>
      <c r="G51" s="2">
        <v>1.21364379084967</v>
      </c>
    </row>
    <row r="52" spans="1:7">
      <c r="A52" s="11" t="s">
        <v>99</v>
      </c>
      <c r="B52" s="2">
        <v>0.935408299866131</v>
      </c>
      <c r="F52" s="11" t="s">
        <v>88</v>
      </c>
      <c r="G52" s="2">
        <v>1.21075740944018</v>
      </c>
    </row>
    <row r="53" spans="1:7">
      <c r="A53" s="11" t="s">
        <v>93</v>
      </c>
      <c r="B53" s="2">
        <v>0.934069611780455</v>
      </c>
      <c r="F53" s="12" t="s">
        <v>55</v>
      </c>
      <c r="G53" s="2">
        <v>1.2077519379845</v>
      </c>
    </row>
    <row r="54" spans="1:7">
      <c r="A54" s="11" t="s">
        <v>98</v>
      </c>
      <c r="B54" s="2">
        <v>0.927376171352075</v>
      </c>
      <c r="F54" s="14" t="s">
        <v>97</v>
      </c>
      <c r="G54" s="2">
        <v>1.20124405415295</v>
      </c>
    </row>
    <row r="55" spans="1:7">
      <c r="A55" s="11" t="s">
        <v>89</v>
      </c>
      <c r="B55" s="2">
        <v>0.920682730923695</v>
      </c>
      <c r="F55" s="11" t="s">
        <v>79</v>
      </c>
      <c r="G55" s="2">
        <v>1.19939271255061</v>
      </c>
    </row>
    <row r="56" spans="1:7">
      <c r="A56" s="11" t="s">
        <v>91</v>
      </c>
      <c r="B56" s="2">
        <v>0.920348058902276</v>
      </c>
      <c r="F56" s="11" t="s">
        <v>69</v>
      </c>
      <c r="G56" s="2">
        <v>1.18669690098262</v>
      </c>
    </row>
    <row r="57" spans="1:7">
      <c r="A57" s="11" t="s">
        <v>60</v>
      </c>
      <c r="B57" s="2">
        <v>0.906666666666667</v>
      </c>
      <c r="F57" s="11" t="s">
        <v>92</v>
      </c>
      <c r="G57" s="2">
        <v>1.18148554701793</v>
      </c>
    </row>
    <row r="58" spans="1:7">
      <c r="A58" s="12" t="s">
        <v>52</v>
      </c>
      <c r="B58" s="2">
        <v>0.905454545454545</v>
      </c>
      <c r="F58" s="11" t="s">
        <v>78</v>
      </c>
      <c r="G58" s="2">
        <v>1.17408906882591</v>
      </c>
    </row>
    <row r="59" spans="1:7">
      <c r="A59" s="10" t="s">
        <v>16</v>
      </c>
      <c r="B59" s="2">
        <v>0.898749398749399</v>
      </c>
      <c r="F59" s="13" t="s">
        <v>40</v>
      </c>
      <c r="G59" s="2">
        <v>1.16666666666667</v>
      </c>
    </row>
    <row r="60" spans="1:7">
      <c r="A60" s="12" t="s">
        <v>54</v>
      </c>
      <c r="B60" s="2">
        <v>0.898585858585858</v>
      </c>
      <c r="F60" s="13" t="s">
        <v>42</v>
      </c>
      <c r="G60" s="2">
        <v>1.16666666666667</v>
      </c>
    </row>
    <row r="61" spans="1:7">
      <c r="A61" s="10" t="s">
        <v>19</v>
      </c>
      <c r="B61" s="2">
        <v>0.892496392496393</v>
      </c>
      <c r="F61" s="11" t="s">
        <v>60</v>
      </c>
      <c r="G61" s="2">
        <v>1.15968992248062</v>
      </c>
    </row>
    <row r="62" spans="1:7">
      <c r="A62" s="12" t="s">
        <v>51</v>
      </c>
      <c r="B62" s="2">
        <v>0.892121212121212</v>
      </c>
      <c r="F62" s="12" t="s">
        <v>52</v>
      </c>
      <c r="G62" s="2">
        <v>1.15813953488372</v>
      </c>
    </row>
    <row r="63" spans="1:7">
      <c r="A63" s="14" t="s">
        <v>61</v>
      </c>
      <c r="B63" s="2">
        <v>0.88441461595824</v>
      </c>
      <c r="F63" s="11" t="s">
        <v>80</v>
      </c>
      <c r="G63" s="2">
        <v>1.15789473684211</v>
      </c>
    </row>
    <row r="64" spans="1:7">
      <c r="A64" s="10" t="s">
        <v>20</v>
      </c>
      <c r="B64" s="2">
        <v>0.881673881673882</v>
      </c>
      <c r="F64" s="11" t="s">
        <v>94</v>
      </c>
      <c r="G64" s="2">
        <v>1.15111598975485</v>
      </c>
    </row>
    <row r="65" spans="1:7">
      <c r="A65" s="14" t="s">
        <v>96</v>
      </c>
      <c r="B65" s="2">
        <v>0.881526104417671</v>
      </c>
      <c r="F65" s="12" t="s">
        <v>54</v>
      </c>
      <c r="G65" s="2">
        <v>1.14935400516796</v>
      </c>
    </row>
    <row r="66" spans="1:7">
      <c r="A66" s="12" t="s">
        <v>35</v>
      </c>
      <c r="B66" s="2">
        <v>0.881417208966016</v>
      </c>
      <c r="F66" s="11" t="s">
        <v>70</v>
      </c>
      <c r="G66" s="2">
        <v>1.14928193499622</v>
      </c>
    </row>
    <row r="67" spans="1:7">
      <c r="A67" s="10" t="s">
        <v>12</v>
      </c>
      <c r="B67" s="2">
        <v>0.880711880711881</v>
      </c>
      <c r="F67" s="12" t="s">
        <v>36</v>
      </c>
      <c r="G67" s="2">
        <v>1.14419934640523</v>
      </c>
    </row>
    <row r="68" spans="1:7">
      <c r="A68" s="11" t="s">
        <v>82</v>
      </c>
      <c r="B68" s="2">
        <v>0.879603837821108</v>
      </c>
      <c r="F68" s="12" t="s">
        <v>51</v>
      </c>
      <c r="G68" s="2">
        <v>1.14108527131783</v>
      </c>
    </row>
    <row r="69" spans="1:7">
      <c r="A69" s="11" t="s">
        <v>71</v>
      </c>
      <c r="B69" s="2">
        <v>0.878448918717375</v>
      </c>
      <c r="F69" s="10" t="s">
        <v>7</v>
      </c>
      <c r="G69" s="2">
        <v>1.13548387096774</v>
      </c>
    </row>
    <row r="70" spans="1:7">
      <c r="A70" s="10" t="s">
        <v>9</v>
      </c>
      <c r="B70" s="2">
        <v>0.875180375180375</v>
      </c>
      <c r="F70" s="11" t="s">
        <v>75</v>
      </c>
      <c r="G70" s="2">
        <v>1.12044534412955</v>
      </c>
    </row>
    <row r="71" spans="1:7">
      <c r="A71" s="13" t="s">
        <v>57</v>
      </c>
      <c r="B71" s="2">
        <v>0.871111111111111</v>
      </c>
      <c r="F71" s="13" t="s">
        <v>57</v>
      </c>
      <c r="G71" s="2">
        <v>1.11421188630491</v>
      </c>
    </row>
    <row r="72" spans="1:7">
      <c r="A72" s="14" t="s">
        <v>63</v>
      </c>
      <c r="B72" s="2">
        <v>0.870246085011186</v>
      </c>
      <c r="F72" s="10" t="s">
        <v>28</v>
      </c>
      <c r="G72" s="2">
        <v>1.10795698924731</v>
      </c>
    </row>
    <row r="73" spans="1:7">
      <c r="A73" s="10" t="s">
        <v>17</v>
      </c>
      <c r="B73" s="2">
        <v>0.87012987012987</v>
      </c>
      <c r="F73" s="10" t="s">
        <v>30</v>
      </c>
      <c r="G73" s="15">
        <v>1.09247311827957</v>
      </c>
    </row>
    <row r="74" spans="1:7">
      <c r="A74" s="11" t="s">
        <v>72</v>
      </c>
      <c r="B74" s="2">
        <v>0.846631866766095</v>
      </c>
      <c r="F74" s="13" t="s">
        <v>46</v>
      </c>
      <c r="G74" s="15">
        <v>1.08946078431373</v>
      </c>
    </row>
    <row r="75" spans="1:7">
      <c r="A75" s="11" t="s">
        <v>67</v>
      </c>
      <c r="B75" s="2">
        <v>0.831220482227194</v>
      </c>
      <c r="F75" s="11" t="s">
        <v>81</v>
      </c>
      <c r="G75" s="15">
        <v>1.08468286099865</v>
      </c>
    </row>
    <row r="76" spans="1:7">
      <c r="A76" s="10" t="s">
        <v>31</v>
      </c>
      <c r="B76" s="2">
        <v>0.824675324675325</v>
      </c>
      <c r="F76" s="11" t="s">
        <v>68</v>
      </c>
      <c r="G76" s="15">
        <v>1.07823129251701</v>
      </c>
    </row>
    <row r="77" spans="1:7">
      <c r="A77" s="11" t="s">
        <v>90</v>
      </c>
      <c r="B77" s="2">
        <v>0.823962516733601</v>
      </c>
      <c r="F77" s="12" t="s">
        <v>50</v>
      </c>
      <c r="G77" s="15">
        <v>1.05271317829457</v>
      </c>
    </row>
    <row r="78" spans="1:7">
      <c r="A78" s="12" t="s">
        <v>50</v>
      </c>
      <c r="B78" s="2">
        <v>0.823030303030303</v>
      </c>
      <c r="F78" s="13" t="s">
        <v>58</v>
      </c>
      <c r="G78" s="15">
        <v>1.04134366925065</v>
      </c>
    </row>
    <row r="79" spans="1:7">
      <c r="A79" s="13" t="s">
        <v>58</v>
      </c>
      <c r="B79" s="2">
        <v>0.814141414141414</v>
      </c>
      <c r="F79" s="11" t="s">
        <v>99</v>
      </c>
      <c r="G79" s="15">
        <v>1.02268569337724</v>
      </c>
    </row>
    <row r="80" spans="1:7">
      <c r="A80" s="10" t="s">
        <v>3</v>
      </c>
      <c r="B80" s="2">
        <v>0.810485810485808</v>
      </c>
      <c r="F80" s="11" t="s">
        <v>93</v>
      </c>
      <c r="G80" s="15">
        <v>1.02122210025613</v>
      </c>
    </row>
    <row r="81" spans="1:7">
      <c r="A81" s="13" t="s">
        <v>45</v>
      </c>
      <c r="B81" s="2">
        <v>0.786695589298626</v>
      </c>
      <c r="F81" s="11" t="s">
        <v>98</v>
      </c>
      <c r="G81" s="15">
        <v>1.01390413465057</v>
      </c>
    </row>
    <row r="82" spans="1:7">
      <c r="A82" s="11" t="s">
        <v>69</v>
      </c>
      <c r="B82" s="2">
        <v>0.780512055679841</v>
      </c>
      <c r="F82" s="11" t="s">
        <v>89</v>
      </c>
      <c r="G82" s="15">
        <v>1.00658616904501</v>
      </c>
    </row>
    <row r="83" spans="1:7">
      <c r="A83" s="13" t="s">
        <v>49</v>
      </c>
      <c r="B83" s="2">
        <v>0.779103398409255</v>
      </c>
      <c r="F83" s="11" t="s">
        <v>91</v>
      </c>
      <c r="G83" s="15">
        <v>1.00622027076473</v>
      </c>
    </row>
    <row r="84" spans="1:7">
      <c r="A84" s="13" t="s">
        <v>48</v>
      </c>
      <c r="B84" s="2">
        <v>0.775488069414317</v>
      </c>
      <c r="F84" s="12" t="s">
        <v>35</v>
      </c>
      <c r="G84" s="15">
        <v>0.995915032679738</v>
      </c>
    </row>
    <row r="85" spans="1:7">
      <c r="A85" s="12" t="s">
        <v>56</v>
      </c>
      <c r="B85" s="2">
        <v>0.774949494949495</v>
      </c>
      <c r="F85" s="12" t="s">
        <v>56</v>
      </c>
      <c r="G85" s="15">
        <v>0.991214470284238</v>
      </c>
    </row>
    <row r="86" spans="1:7">
      <c r="A86" s="11" t="s">
        <v>70</v>
      </c>
      <c r="B86" s="2">
        <v>0.755903554561273</v>
      </c>
      <c r="F86" s="14" t="s">
        <v>96</v>
      </c>
      <c r="G86" s="15">
        <v>0.96377607025247</v>
      </c>
    </row>
    <row r="87" spans="1:7">
      <c r="A87" s="10" t="s">
        <v>10</v>
      </c>
      <c r="B87" s="2">
        <v>0.746272246272246</v>
      </c>
      <c r="F87" s="11" t="s">
        <v>82</v>
      </c>
      <c r="G87" s="15">
        <v>0.958839406207827</v>
      </c>
    </row>
    <row r="88" spans="1:7">
      <c r="A88" s="11" t="s">
        <v>68</v>
      </c>
      <c r="B88" s="2">
        <v>0.70917225950783</v>
      </c>
      <c r="F88" s="11" t="s">
        <v>90</v>
      </c>
      <c r="G88" s="15">
        <v>0.900841566044639</v>
      </c>
    </row>
    <row r="89" spans="1:7">
      <c r="A89" s="13" t="s">
        <v>47</v>
      </c>
      <c r="B89" s="2">
        <v>0.696673897324656</v>
      </c>
      <c r="F89" s="13" t="s">
        <v>45</v>
      </c>
      <c r="G89" s="15">
        <v>0.888888888888889</v>
      </c>
    </row>
    <row r="90" spans="1:7">
      <c r="A90" s="12" t="s">
        <v>33</v>
      </c>
      <c r="B90" s="2">
        <v>0.665220535068691</v>
      </c>
      <c r="F90" s="13" t="s">
        <v>49</v>
      </c>
      <c r="G90" s="15">
        <v>0.88031045751634</v>
      </c>
    </row>
    <row r="91" spans="1:7">
      <c r="A91" s="11" t="s">
        <v>83</v>
      </c>
      <c r="B91" s="2">
        <v>0.64066852367688</v>
      </c>
      <c r="F91" s="13" t="s">
        <v>48</v>
      </c>
      <c r="G91" s="15">
        <v>0.876225490196078</v>
      </c>
    </row>
    <row r="92" spans="1:7">
      <c r="A92" s="10" t="s">
        <v>7</v>
      </c>
      <c r="B92" s="2">
        <v>0.634920634920635</v>
      </c>
      <c r="F92" s="10" t="s">
        <v>29</v>
      </c>
      <c r="G92" s="15">
        <v>0.860645161290323</v>
      </c>
    </row>
    <row r="93" spans="1:7">
      <c r="A93" s="10" t="s">
        <v>28</v>
      </c>
      <c r="B93" s="2">
        <v>0.619528619528619</v>
      </c>
      <c r="F93" s="13" t="s">
        <v>47</v>
      </c>
      <c r="G93" s="15">
        <v>0.787173202614379</v>
      </c>
    </row>
    <row r="94" spans="1:7">
      <c r="A94" s="10" t="s">
        <v>30</v>
      </c>
      <c r="B94" s="2">
        <v>0.610870610870611</v>
      </c>
      <c r="F94" s="12" t="s">
        <v>33</v>
      </c>
      <c r="G94" s="15">
        <v>0.751633986928104</v>
      </c>
    </row>
    <row r="95" spans="1:7">
      <c r="A95" s="10" t="s">
        <v>29</v>
      </c>
      <c r="B95" s="2">
        <v>0.481240981240981</v>
      </c>
      <c r="F95" s="11" t="s">
        <v>83</v>
      </c>
      <c r="G95" s="15">
        <v>0.69838056680162</v>
      </c>
    </row>
  </sheetData>
  <sortState ref="F2:G95">
    <sortCondition ref="G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N11" sqref="N11"/>
    </sheetView>
  </sheetViews>
  <sheetFormatPr defaultColWidth="9.23076923076923" defaultRowHeight="16.8" outlineLevelCol="7"/>
  <cols>
    <col min="1" max="1" width="9.23076923076923" style="1"/>
    <col min="2" max="2" width="9.23076923076923" style="2"/>
    <col min="7" max="7" width="9.23076923076923" style="1"/>
    <col min="8" max="8" width="9.23076923076923" style="2"/>
  </cols>
  <sheetData>
    <row r="1" spans="2:8">
      <c r="B1" s="2" t="s">
        <v>1</v>
      </c>
      <c r="H1" s="2" t="s">
        <v>2</v>
      </c>
    </row>
    <row r="2" spans="1:8">
      <c r="A2" s="3" t="s">
        <v>44</v>
      </c>
      <c r="B2" s="2">
        <v>1.38599588114151</v>
      </c>
      <c r="G2" s="4" t="s">
        <v>102</v>
      </c>
      <c r="H2" s="2">
        <v>2.47395833333333</v>
      </c>
    </row>
    <row r="3" spans="1:8">
      <c r="A3" s="4" t="s">
        <v>102</v>
      </c>
      <c r="B3" s="2">
        <v>1.30315500685871</v>
      </c>
      <c r="G3" s="4" t="s">
        <v>104</v>
      </c>
      <c r="H3" s="2">
        <v>2.32957175925926</v>
      </c>
    </row>
    <row r="4" spans="1:8">
      <c r="A4" s="4" t="s">
        <v>104</v>
      </c>
      <c r="B4" s="2">
        <v>1.22709952751105</v>
      </c>
      <c r="G4" s="4" t="s">
        <v>108</v>
      </c>
      <c r="H4" s="2">
        <v>2.2884837962963</v>
      </c>
    </row>
    <row r="5" spans="1:8">
      <c r="A5" s="5" t="s">
        <v>115</v>
      </c>
      <c r="B5" s="2">
        <v>1.22657033915312</v>
      </c>
      <c r="G5" s="6" t="s">
        <v>21</v>
      </c>
      <c r="H5" s="2">
        <v>2.12355324074074</v>
      </c>
    </row>
    <row r="6" spans="1:8">
      <c r="A6" s="4" t="s">
        <v>108</v>
      </c>
      <c r="B6" s="2">
        <v>1.20545648529188</v>
      </c>
      <c r="G6" s="4" t="s">
        <v>110</v>
      </c>
      <c r="H6" s="2">
        <v>2.07841435185185</v>
      </c>
    </row>
    <row r="7" spans="1:8">
      <c r="A7" s="5" t="s">
        <v>119</v>
      </c>
      <c r="B7" s="2">
        <v>1.12602849688942</v>
      </c>
      <c r="G7" s="4" t="s">
        <v>62</v>
      </c>
      <c r="H7" s="2">
        <v>1.95601851851852</v>
      </c>
    </row>
    <row r="8" spans="1:8">
      <c r="A8" s="6" t="s">
        <v>21</v>
      </c>
      <c r="B8" s="2">
        <v>1.11857948483463</v>
      </c>
      <c r="G8" s="4" t="s">
        <v>106</v>
      </c>
      <c r="H8" s="2">
        <v>1.8990162037037</v>
      </c>
    </row>
    <row r="9" spans="1:8">
      <c r="A9" s="4" t="s">
        <v>110</v>
      </c>
      <c r="B9" s="2">
        <v>1.09480262155159</v>
      </c>
      <c r="G9" s="5" t="s">
        <v>115</v>
      </c>
      <c r="H9" s="2">
        <v>1.79976442873969</v>
      </c>
    </row>
    <row r="10" spans="1:8">
      <c r="A10" s="7" t="s">
        <v>14</v>
      </c>
      <c r="B10" s="2">
        <v>1.08178876140041</v>
      </c>
      <c r="G10" s="5" t="s">
        <v>119</v>
      </c>
      <c r="H10" s="2">
        <v>1.65223792697291</v>
      </c>
    </row>
    <row r="11" spans="1:8">
      <c r="A11" s="3" t="s">
        <v>39</v>
      </c>
      <c r="B11" s="2">
        <v>1.08002353633422</v>
      </c>
      <c r="G11" s="3" t="s">
        <v>44</v>
      </c>
      <c r="H11" s="2">
        <v>1.64605171208945</v>
      </c>
    </row>
    <row r="12" spans="1:8">
      <c r="A12" s="7" t="s">
        <v>23</v>
      </c>
      <c r="B12" s="2">
        <v>1.04972050603119</v>
      </c>
      <c r="G12" s="4" t="s">
        <v>105</v>
      </c>
      <c r="H12" s="2">
        <v>1.51793981481481</v>
      </c>
    </row>
    <row r="13" spans="1:8">
      <c r="A13" s="7" t="s">
        <v>18</v>
      </c>
      <c r="B13" s="2">
        <v>1.0432480141218</v>
      </c>
      <c r="G13" s="5" t="s">
        <v>112</v>
      </c>
      <c r="H13" s="2">
        <v>1.49528857479388</v>
      </c>
    </row>
    <row r="14" spans="1:8">
      <c r="A14" s="4" t="s">
        <v>62</v>
      </c>
      <c r="B14" s="2">
        <v>1.0303307422649</v>
      </c>
      <c r="G14" s="5" t="s">
        <v>114</v>
      </c>
      <c r="H14" s="2">
        <v>1.48380447585395</v>
      </c>
    </row>
    <row r="15" spans="1:8">
      <c r="A15" s="7" t="s">
        <v>25</v>
      </c>
      <c r="B15" s="2">
        <v>1.03030303030303</v>
      </c>
      <c r="G15" s="5" t="s">
        <v>116</v>
      </c>
      <c r="H15" s="2">
        <v>1.45524146054181</v>
      </c>
    </row>
    <row r="16" spans="1:8">
      <c r="A16" s="7" t="s">
        <v>13</v>
      </c>
      <c r="B16" s="2">
        <v>1.02912621359223</v>
      </c>
      <c r="G16" s="4" t="s">
        <v>101</v>
      </c>
      <c r="H16" s="2">
        <v>1.41174768518519</v>
      </c>
    </row>
    <row r="17" spans="1:8">
      <c r="A17" s="5" t="s">
        <v>112</v>
      </c>
      <c r="B17" s="2">
        <v>1.01906482038932</v>
      </c>
      <c r="G17" s="4" t="s">
        <v>109</v>
      </c>
      <c r="H17" s="2">
        <v>1.41174768518519</v>
      </c>
    </row>
    <row r="18" spans="1:8">
      <c r="A18" s="5" t="s">
        <v>114</v>
      </c>
      <c r="B18" s="2">
        <v>1.01123820991371</v>
      </c>
      <c r="G18" s="5" t="s">
        <v>118</v>
      </c>
      <c r="H18" s="2">
        <v>1.400765606596</v>
      </c>
    </row>
    <row r="19" spans="1:8">
      <c r="A19" s="3" t="s">
        <v>38</v>
      </c>
      <c r="B19" s="2">
        <v>1.00647249190939</v>
      </c>
      <c r="G19" s="4" t="s">
        <v>107</v>
      </c>
      <c r="H19" s="2">
        <v>1.35127314814815</v>
      </c>
    </row>
    <row r="20" spans="1:8">
      <c r="A20" s="3" t="s">
        <v>37</v>
      </c>
      <c r="B20" s="2">
        <v>1.00441306266549</v>
      </c>
      <c r="G20" s="3" t="s">
        <v>39</v>
      </c>
      <c r="H20" s="2">
        <v>1.28266946191474</v>
      </c>
    </row>
    <row r="21" spans="1:8">
      <c r="A21" s="4" t="s">
        <v>106</v>
      </c>
      <c r="B21" s="2">
        <v>1.00030483158055</v>
      </c>
      <c r="G21" s="4" t="s">
        <v>32</v>
      </c>
      <c r="H21" s="2">
        <v>1.24797453703704</v>
      </c>
    </row>
    <row r="22" spans="1:8">
      <c r="A22" s="7" t="s">
        <v>11</v>
      </c>
      <c r="B22" s="2">
        <v>0.998823183289203</v>
      </c>
      <c r="G22" s="5" t="s">
        <v>113</v>
      </c>
      <c r="H22" s="2">
        <v>1.24352179034158</v>
      </c>
    </row>
    <row r="23" spans="1:8">
      <c r="A23" s="7" t="s">
        <v>17</v>
      </c>
      <c r="B23" s="2">
        <v>0.994115916446013</v>
      </c>
      <c r="G23" s="7" t="s">
        <v>14</v>
      </c>
      <c r="H23" s="2">
        <v>1.2195688225539</v>
      </c>
    </row>
    <row r="24" spans="1:8">
      <c r="A24" s="5" t="s">
        <v>116</v>
      </c>
      <c r="B24" s="2">
        <v>0.991772024884608</v>
      </c>
      <c r="G24" s="3" t="s">
        <v>38</v>
      </c>
      <c r="H24" s="2">
        <v>1.1953179594689</v>
      </c>
    </row>
    <row r="25" spans="1:8">
      <c r="A25" s="7" t="s">
        <v>24</v>
      </c>
      <c r="B25" s="2">
        <v>0.986172403648132</v>
      </c>
      <c r="G25" s="3" t="s">
        <v>37</v>
      </c>
      <c r="H25" s="2">
        <v>1.19287211740042</v>
      </c>
    </row>
    <row r="26" spans="1:8">
      <c r="A26" s="3" t="s">
        <v>41</v>
      </c>
      <c r="B26" s="2">
        <v>0.985583995292733</v>
      </c>
      <c r="G26" s="7" t="s">
        <v>23</v>
      </c>
      <c r="H26" s="2">
        <v>1.18341625207297</v>
      </c>
    </row>
    <row r="27" spans="1:8">
      <c r="A27" s="7" t="s">
        <v>5</v>
      </c>
      <c r="B27" s="2">
        <v>0.984407178581936</v>
      </c>
      <c r="G27" s="7" t="s">
        <v>18</v>
      </c>
      <c r="H27" s="2">
        <v>1.17611940298507</v>
      </c>
    </row>
    <row r="28" spans="1:8">
      <c r="A28" s="3" t="s">
        <v>40</v>
      </c>
      <c r="B28" s="2">
        <v>0.975581053250956</v>
      </c>
      <c r="G28" s="3" t="s">
        <v>41</v>
      </c>
      <c r="H28" s="2">
        <v>1.17051013277428</v>
      </c>
    </row>
    <row r="29" spans="1:8">
      <c r="A29" s="5" t="s">
        <v>118</v>
      </c>
      <c r="B29" s="2">
        <v>0.954645795705398</v>
      </c>
      <c r="G29" s="7" t="s">
        <v>25</v>
      </c>
      <c r="H29" s="2">
        <v>1.16152570480929</v>
      </c>
    </row>
    <row r="30" spans="1:8">
      <c r="A30" s="3" t="s">
        <v>43</v>
      </c>
      <c r="B30" s="2">
        <v>0.920564872021183</v>
      </c>
      <c r="G30" s="7" t="s">
        <v>13</v>
      </c>
      <c r="H30" s="2">
        <v>1.16019900497512</v>
      </c>
    </row>
    <row r="31" spans="1:8">
      <c r="A31" s="3" t="s">
        <v>100</v>
      </c>
      <c r="B31" s="2">
        <v>0.884671962341865</v>
      </c>
      <c r="G31" s="3" t="s">
        <v>40</v>
      </c>
      <c r="H31" s="2">
        <v>1.15863032844165</v>
      </c>
    </row>
    <row r="32" spans="1:8">
      <c r="A32" s="5" t="s">
        <v>113</v>
      </c>
      <c r="B32" s="2">
        <v>0.84748143688541</v>
      </c>
      <c r="G32" s="5" t="s">
        <v>117</v>
      </c>
      <c r="H32" s="2">
        <v>1.14752650176678</v>
      </c>
    </row>
    <row r="33" spans="1:8">
      <c r="A33" s="4" t="s">
        <v>105</v>
      </c>
      <c r="B33" s="2">
        <v>0.799573235787227</v>
      </c>
      <c r="G33" s="4" t="s">
        <v>103</v>
      </c>
      <c r="H33" s="2">
        <v>1.13599537037037</v>
      </c>
    </row>
    <row r="34" spans="1:8">
      <c r="A34" s="5" t="s">
        <v>117</v>
      </c>
      <c r="B34" s="2">
        <v>0.782059000602047</v>
      </c>
      <c r="G34" s="8" t="s">
        <v>120</v>
      </c>
      <c r="H34" s="2">
        <v>1.13044758539458</v>
      </c>
    </row>
    <row r="35" spans="1:8">
      <c r="A35" s="8" t="s">
        <v>120</v>
      </c>
      <c r="B35" s="2">
        <v>0.770419426048565</v>
      </c>
      <c r="G35" s="7" t="s">
        <v>11</v>
      </c>
      <c r="H35" s="2">
        <v>1.12603648424544</v>
      </c>
    </row>
    <row r="36" spans="1:8">
      <c r="A36" s="4" t="s">
        <v>101</v>
      </c>
      <c r="B36" s="2">
        <v>0.743636640755982</v>
      </c>
      <c r="G36" s="7" t="s">
        <v>17</v>
      </c>
      <c r="H36" s="2">
        <v>1.12072968490879</v>
      </c>
    </row>
    <row r="37" spans="1:8">
      <c r="A37" s="4" t="s">
        <v>109</v>
      </c>
      <c r="B37" s="2">
        <v>0.743636640755982</v>
      </c>
      <c r="G37" s="7" t="s">
        <v>24</v>
      </c>
      <c r="H37" s="2">
        <v>1.11177446102819</v>
      </c>
    </row>
    <row r="38" spans="1:8">
      <c r="A38" s="4" t="s">
        <v>107</v>
      </c>
      <c r="B38" s="2">
        <v>0.711781740588325</v>
      </c>
      <c r="G38" s="7" t="s">
        <v>5</v>
      </c>
      <c r="H38" s="2">
        <v>1.10978441127695</v>
      </c>
    </row>
    <row r="39" spans="1:8">
      <c r="A39" s="4" t="s">
        <v>32</v>
      </c>
      <c r="B39" s="2">
        <v>0.657369303459838</v>
      </c>
      <c r="G39" s="3" t="s">
        <v>43</v>
      </c>
      <c r="H39" s="2">
        <v>1.09329140461216</v>
      </c>
    </row>
    <row r="40" spans="1:8">
      <c r="A40" s="4" t="s">
        <v>103</v>
      </c>
      <c r="B40" s="2">
        <v>0.598384392623076</v>
      </c>
      <c r="G40" s="3" t="s">
        <v>100</v>
      </c>
      <c r="H40" s="2">
        <v>1.05066387141859</v>
      </c>
    </row>
  </sheetData>
  <sortState ref="G2:H41">
    <sortCondition ref="H2" descending="1"/>
  </sortState>
  <conditionalFormatting sqref="A$1:A$1048576">
    <cfRule type="duplicateValues" dxfId="0" priority="1"/>
  </conditionalFormatting>
  <conditionalFormatting sqref="G$1:G$1048576">
    <cfRule type="duplicateValues" dxfId="0" priority="3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初筛</vt:lpstr>
      <vt:lpstr>复筛</vt:lpstr>
      <vt:lpstr>初筛排序</vt:lpstr>
      <vt:lpstr>复筛排序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We</cp:lastModifiedBy>
  <dcterms:created xsi:type="dcterms:W3CDTF">2026-07-10T10:13:00Z</dcterms:created>
  <dcterms:modified xsi:type="dcterms:W3CDTF">2026-07-10T18:48:44Z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4EEF91E6516B250EE2034F6AA0BF5E28_41</vt:lpwstr>
  </property>
  <property fmtid="{D5CDD505-2E9C-101B-9397-08002B2CF9AE}" pid="3" name="KSOProductBuildVer">
    <vt:lpwstr>2052-6.2.2.8394</vt:lpwstr>
  </property>
</Properties>
</file>